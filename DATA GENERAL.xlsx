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pnedu-my.sharepoint.com/personal/n00325202_upn_pe/Documents/Desktop/SLOTTING DINAMICO/"/>
    </mc:Choice>
  </mc:AlternateContent>
  <xr:revisionPtr revIDLastSave="0" documentId="8_{F18366E3-49B4-4C6F-988D-9A3E32A9FBC3}" xr6:coauthVersionLast="47" xr6:coauthVersionMax="47" xr10:uidLastSave="{00000000-0000-0000-0000-000000000000}"/>
  <bookViews>
    <workbookView xWindow="-108" yWindow="-108" windowWidth="23256" windowHeight="13176" xr2:uid="{6B6C1EA3-4A0D-46EE-84B7-E3DFD8BF60DD}"/>
  </bookViews>
  <sheets>
    <sheet name="DATA GENERAL" sheetId="2" r:id="rId1"/>
  </sheets>
  <externalReferences>
    <externalReference r:id="rId2"/>
  </externalReferences>
  <definedNames>
    <definedName name="_xlnm._FilterDatabase" localSheetId="0" hidden="1">'DATA GENERAL'!$A$1:$D$1</definedName>
    <definedName name="FRAGILIDAD">'[1]DATA FRAGILIDAD'!$A$2:$C$6</definedName>
    <definedName name="SEGM1">'DATA GENERAL'!$A$2:$D$476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</calcChain>
</file>

<file path=xl/sharedStrings.xml><?xml version="1.0" encoding="utf-8"?>
<sst xmlns="http://schemas.openxmlformats.org/spreadsheetml/2006/main" count="1430" uniqueCount="490">
  <si>
    <t>Soporte vertical regular. Ubicación: Centro.</t>
  </si>
  <si>
    <t>LAIVE S.A.</t>
  </si>
  <si>
    <t>TWOPACK BEBIDA COCO SIN END LAIVE 946ML</t>
  </si>
  <si>
    <t>Resistencia estándar. Ubicación: Centro.</t>
  </si>
  <si>
    <t>TWOPACK BEB ALMENDRA SIN END LAIVE 946ML</t>
  </si>
  <si>
    <t>Extremadamente frágil. Ubicación: Cima absoluta.</t>
  </si>
  <si>
    <t>SIROPE SABOR MAPLE LAIVE BOTELLA 355ML</t>
  </si>
  <si>
    <t>MEZCLA LACTEA LAIVE NUTRILAC 6 X 480GR</t>
  </si>
  <si>
    <t>MEZCLA LACTEA LA PREFERIDA BOLSA X 800ML</t>
  </si>
  <si>
    <t>MEZC LACT LAIVE 0% LACTOSA 6PK X 480GR</t>
  </si>
  <si>
    <t>Soporta peso mínimo. Ubicación: Capas superiores.</t>
  </si>
  <si>
    <t>MANJARBLANCO LAIVE P/PANAD X KG</t>
  </si>
  <si>
    <t>MANJAR BLANCO LAIVE DOY PACK X200G</t>
  </si>
  <si>
    <t>MANJAR BAZO VELARDE GRNL X KG SB</t>
  </si>
  <si>
    <t>LECHE UHT SIN LACTOSA LIGHT LAIVE X946ML</t>
  </si>
  <si>
    <t>LECHE UHT SIN LACTOSA LIGHT LAIVE 4PK 946ML</t>
  </si>
  <si>
    <t>LECHE UHT S/LACT CHOCOLATE LAIVE 946 ML</t>
  </si>
  <si>
    <t>LECHE UHT LAIVE BOLSA 800ML</t>
  </si>
  <si>
    <t>LECHE SIN LACTOSA UHT LAIVE X 946 ML</t>
  </si>
  <si>
    <t>LECHE SIN LACTOSA LIGHT LAIVE BOT 390GR</t>
  </si>
  <si>
    <t>LECHE SEMI CONCENTRADA LAIVE 6PK X390GR</t>
  </si>
  <si>
    <t>LECHE S/LACTOSA LIGHT LAIVE BOT 6PK 390G</t>
  </si>
  <si>
    <t>LECHE NATURAL UHT LAIVE X 946 ML</t>
  </si>
  <si>
    <t>LECHE LAIVE SIN LACTOSA 800ML</t>
  </si>
  <si>
    <t>LECHE ENTERA UHT LAIVE FOURPACK X 946ML</t>
  </si>
  <si>
    <t>LECHE CONCENT 6.4% GRASA LAIVE X 390G</t>
  </si>
  <si>
    <t>LECHE CONC SIN LACT LAIVE BOT 390GR</t>
  </si>
  <si>
    <t>LECHE CONC S/LACT LAIVE BOT 390GR 6PACK</t>
  </si>
  <si>
    <t>LECHE 0% LACTOSA LAIVE FOURPACK X 946ML</t>
  </si>
  <si>
    <t>FUDGE HELADERO BAZO VELARDE FRASCO 550G</t>
  </si>
  <si>
    <t>FUDGE HELADERO BAZO VELARDE DOYPACK 200G</t>
  </si>
  <si>
    <t>FUDGE CASERO BAZO VELARDE BOLSA 500G</t>
  </si>
  <si>
    <t>DULCE LECHE BAZO VELARDE DOYPACK 200G</t>
  </si>
  <si>
    <t>DULCE LECHE BAZO VELARDE BOLSA 1KG</t>
  </si>
  <si>
    <t>BEBIDA WATTS TTP X 946ML , NARANJA</t>
  </si>
  <si>
    <t>BEBIDA WATTS NARANJA X 350ML</t>
  </si>
  <si>
    <t>BEBIDA WATTS DURAZNO X 350ML</t>
  </si>
  <si>
    <t>BEBIDA DE SOYA UHT LAIVE 946 ML</t>
  </si>
  <si>
    <t>BEBIDA DE COCO LAIVE SIN ENDULZAR 946 ML</t>
  </si>
  <si>
    <t>BEBIDA DE COCO LAIVE 946 ML</t>
  </si>
  <si>
    <t>BEBIDA DE ALMENDRA LAIVE TWOPACK 946ML</t>
  </si>
  <si>
    <t>BEBIDA DE ALMENDRA LAIVE 946 ML</t>
  </si>
  <si>
    <t>BEBIDA CHOCOLATADA LAIVE BOLSA 800ML</t>
  </si>
  <si>
    <t>BEB LACTEA SABOR CHOCO YOPI 6TTP X170 ML</t>
  </si>
  <si>
    <t>BEB ALMENDRA LAIVE SIN ENDULZAR 946ML</t>
  </si>
  <si>
    <t>BEB ALMENDRA SIN END LAIVE 4PACK 946ML</t>
  </si>
  <si>
    <t>AJINOMOTO S.A.</t>
  </si>
  <si>
    <t>VINAGRE DE MANZANA KEMAL KÜKRER 500 ML</t>
  </si>
  <si>
    <t>TALLARIN SALTADO ROJO AJINOMEN</t>
  </si>
  <si>
    <t>TALLARIN INSTANTANEO ROJO AJINOMEN</t>
  </si>
  <si>
    <t>SUPER SAZONADOR FCO X100G AJINOMOTO</t>
  </si>
  <si>
    <t>SOPA VASO 51G AJINOMEN , CARNE PICANTE</t>
  </si>
  <si>
    <t>SOPA VASO 50G AJINOMEN , POLLO</t>
  </si>
  <si>
    <t>SOPA VASO 50G AJINOMEN , GALLINA PICANTE</t>
  </si>
  <si>
    <t>SOPA VASO 50G AJINOMEN , GALLINA</t>
  </si>
  <si>
    <t>SOPA VASO 50G AJINOMEN , CARNE</t>
  </si>
  <si>
    <t>SOPA INSTANTANEA VASO POLLO + QUINUA</t>
  </si>
  <si>
    <t>SOPA INST.C/FIDEOS X80G AJINOM, ORIENTAL</t>
  </si>
  <si>
    <t>SOPA INST. C/FIDEOS AJINOMEN X80GR POLLO</t>
  </si>
  <si>
    <t>SOPA INST. C/FIDEOS AJINOMEN X80GR GALLI</t>
  </si>
  <si>
    <t>SOPA INST. C/FIDEOS AJINOMEN X80GR CARNE</t>
  </si>
  <si>
    <t>SOPA INST. C/FIDEOS AJINOMEN , GALL LIGH</t>
  </si>
  <si>
    <t>SOPA INST. C/FIDEOS AJI X80GR GALLIPICA</t>
  </si>
  <si>
    <t>SOPA INST. C/FIDEOS AJI X80GR GALLICRIO</t>
  </si>
  <si>
    <t>SOPA AJINOMEN POLLO C/VERDURAS X 80GR</t>
  </si>
  <si>
    <t>SILLAO X 500 ML AJI-NO-SILLAO.</t>
  </si>
  <si>
    <t>SILLAO X 280ML AJI-NO-SILLAO</t>
  </si>
  <si>
    <t>SILLAO X 150ML AJI-NO-SILLAO.</t>
  </si>
  <si>
    <t>SAZONADOR X 12 GR AJINOMIX, CHIFA</t>
  </si>
  <si>
    <t>MINI BOLSA SAZONADOR DELI ARROZ X 6X12GR</t>
  </si>
  <si>
    <t>MEZCLA P/APANAR X 96GR AJINOMIX CROCANTE</t>
  </si>
  <si>
    <t>MEZCLA P/APANAR X 96GR AJINOMIX APANADO</t>
  </si>
  <si>
    <t>CHOCOLATADA MISKISIMO DOYPACK X190GR</t>
  </si>
  <si>
    <t>CALDO CONCENT. PESCADO X42GR DOÑA GUSTA</t>
  </si>
  <si>
    <t>CALDO CONCENT. GALLINA X 42GR DOÑA GUSTA</t>
  </si>
  <si>
    <t>CALDO CONCENT. COSTILLA X42GR DOÑA GUSTA</t>
  </si>
  <si>
    <t>CALDO CONCENT. CARNE X 42GR DOÑA GUSTA</t>
  </si>
  <si>
    <t>CALDO CONCENT TOCINO X 42GR DOÑA GUSTA</t>
  </si>
  <si>
    <t>AJINOSILLAO 1L</t>
  </si>
  <si>
    <t>AJINOMOTO X 90 GR SOBRE</t>
  </si>
  <si>
    <t>AJINOMOTO X 500 GR.</t>
  </si>
  <si>
    <t>AJINOMOTO X 250 GR. SOBRE</t>
  </si>
  <si>
    <t>ABLANDADOR CARNE X 4UND ABLANDA 5</t>
  </si>
  <si>
    <t>Soporta peso alto. Ubicación: Base superior.</t>
  </si>
  <si>
    <t>ALICORP S.A.A.</t>
  </si>
  <si>
    <t>VINAGRE DE VINO BLANCO X 5LT(CJ X4BOT)PC</t>
  </si>
  <si>
    <t>Soporta peso máximo. Ubicación: Base inferior.</t>
  </si>
  <si>
    <t>VINAGRE BLANCO ALPESA X5LT (CJX 20LT)-SB</t>
  </si>
  <si>
    <t>TROZOS DE ATUN PRIMOR X140GR</t>
  </si>
  <si>
    <t>TROZOS DE ATUN PRIMOR SIXPACK X140GR</t>
  </si>
  <si>
    <t>TRATAMIENTO AMARAS RIZOS 12FCO 300ML</t>
  </si>
  <si>
    <t>TRATAMIENTO AMARAS 300 ML, REPARACION</t>
  </si>
  <si>
    <t>TALLARIN NICOLINI X 1KG</t>
  </si>
  <si>
    <t>TALLARIN GRUESO NICOLINI X 500 GR</t>
  </si>
  <si>
    <t>TALLARIN ESPIGA DE ORO 500 G</t>
  </si>
  <si>
    <t>TALLARIN DELGADO NICOLINI X 500 GR</t>
  </si>
  <si>
    <t>SUAVIZANTE BOLIVAR PLUS ORQUIDEA x2.8LT</t>
  </si>
  <si>
    <t>SUAVIZANTE BOLIVAR PLUS LAVANDA x2.8LT</t>
  </si>
  <si>
    <t>SUAVIZANTE BOLIVAR BABY&amp;KIDS X800ML</t>
  </si>
  <si>
    <t>SUAVIZANTE BOLIVAR AROMA ACTIVO X4.8LT</t>
  </si>
  <si>
    <t>SUAVIZANTE BOLIVAR AROMA ACTIVO X2.8LT</t>
  </si>
  <si>
    <t>SPAGUETTI DON VITTORIO X 950 GR</t>
  </si>
  <si>
    <t>SPAGUETTI DON VITTORIO X 500 GR</t>
  </si>
  <si>
    <t>SPAGHETTI NICOLINI X 500 GR</t>
  </si>
  <si>
    <t>SPAGHETTI NICOLINI X 1KG</t>
  </si>
  <si>
    <t>SPAGHETTI ESPIGA DE ORO 500 G</t>
  </si>
  <si>
    <t>SHAMPOO LIMPIA ALFOMBRAS X 980ML SAPOLIO</t>
  </si>
  <si>
    <t>SHAMPOO AMARAS 700 ML, RIZOS</t>
  </si>
  <si>
    <t>SHAMPOO AMARAS 700 ML, REPARACION</t>
  </si>
  <si>
    <t>SHAMPOO AMARAS 700 ML,  CONTROL FRIZZ</t>
  </si>
  <si>
    <t>SHAMPOO AMARAS 400 ML, RIZOS</t>
  </si>
  <si>
    <t>SHAMPOO AMARAS 400 ML, REPARACION</t>
  </si>
  <si>
    <t>SHAMPOO AMARAS 400 ML,  CONTROL FRIZZ</t>
  </si>
  <si>
    <t>SH AMARÁS MAGIA ANDINA NUTRITIVO 400 ML</t>
  </si>
  <si>
    <t>SAPOLIO WC LIMPIA INODOR POW MAX X 500ML</t>
  </si>
  <si>
    <t>SAPOLIO LAVAVAJILLA LIQ. 1250ML, MANZANA</t>
  </si>
  <si>
    <t>SAPOLIO LAVAVAJILLA LIQ. 1250ML, LIMON</t>
  </si>
  <si>
    <t>SAPOLIO LAVAVAJILLA LIQ. 1250, LIMA LIMO</t>
  </si>
  <si>
    <t>SALSA WAKATAYA BOT X 334.5G ALACENA</t>
  </si>
  <si>
    <t>SALSA ROJA X  200 GR DON VITTORIO</t>
  </si>
  <si>
    <t>SALSA HUANCAINA X390GR NICOLINI</t>
  </si>
  <si>
    <t>SALSA HUANCAINA X190GR NICOLINI</t>
  </si>
  <si>
    <t>SACAGRASA SAPOLIOC/GAT  650ML NARANJA</t>
  </si>
  <si>
    <t>SACAGRASA SAPOLIOC/GAT  650ML LIMON</t>
  </si>
  <si>
    <t>SACAGRASA LIMONX500ML SAPOLIO DOY PACK</t>
  </si>
  <si>
    <t>RPTO.LIMP.DESINF.SAPOLIO WCX450ML, PINO</t>
  </si>
  <si>
    <t>ROCOTO 85G ALACENA</t>
  </si>
  <si>
    <t>REPELENTE PASTILLAS ZANCUDOSX12 SAPOLIO</t>
  </si>
  <si>
    <t>QUITAMANCHAS SAPOLIO 1800ML, ROPA COLOR</t>
  </si>
  <si>
    <t>QUITAMANCHAS ROPA COL SAPOLIO X 3785ML</t>
  </si>
  <si>
    <t>PURE DE PAPA X125GR NICOLINI</t>
  </si>
  <si>
    <t>PULIDOR ANTIGERM BAÑO TUBO 450GR SAPOLIO</t>
  </si>
  <si>
    <t>PASTINAS X 250G NICOLINI, CORBATA GR</t>
  </si>
  <si>
    <t>PASTINAS X 250G NICOLINI, CODO RAYAD</t>
  </si>
  <si>
    <t>PASTINAS X 250G NICOLINI , TORNILLO</t>
  </si>
  <si>
    <t>PASTA DENTAL DENTO TRIPLE ACC 6PCK 80G</t>
  </si>
  <si>
    <t>PASTA DENTAL DENTO TRIPLE ACC 3PCK 80G</t>
  </si>
  <si>
    <t>OLEO PUNTAS AMARAS 60ML, REPARACION</t>
  </si>
  <si>
    <t>MOSTAZA X 220 GR ALACENA</t>
  </si>
  <si>
    <t>MOSTAZA X 100 GR ALACENA</t>
  </si>
  <si>
    <t>MOSTAZA ALACENA X 400 GR</t>
  </si>
  <si>
    <t>MAYONESA X850GR A LA CENA</t>
  </si>
  <si>
    <t>MAYONESA X475GR A LA CENA</t>
  </si>
  <si>
    <t>MAYONESA X 235GR ALACENA</t>
  </si>
  <si>
    <t>MAYONESA LIGHT X400GR ALACENA</t>
  </si>
  <si>
    <t>MAYONESA BASE MACBEL X 4KG</t>
  </si>
  <si>
    <t>MAYONESA ALACENA XKG (BOL X 1.9 KG) -CT</t>
  </si>
  <si>
    <t>MAYONESA ALACENA 8G (CJX250UN)-PB</t>
  </si>
  <si>
    <t>MAYONESA ALACENA 3.8KG</t>
  </si>
  <si>
    <t>MAYONESA A LA CENA X 95 G</t>
  </si>
  <si>
    <t>MATA ACAROS X  360 ML SAPOLIO</t>
  </si>
  <si>
    <t>MASCARILLA AMARAS LARGO 12FCO300ML</t>
  </si>
  <si>
    <t>MARGARINA PRIMAVERA MULTIUSO X 2KG</t>
  </si>
  <si>
    <t>MARGARINA PRIMAV HOJALDRE (CJ X10KG)-PAN</t>
  </si>
  <si>
    <t>MARGARINA PRIMAV HOJALDRE  (CJ X10KG)-CT</t>
  </si>
  <si>
    <t>MARGARINA MULTIUSOS X CJ - PAN</t>
  </si>
  <si>
    <t>MARGARINA MULTIUSOS X CJ - CT</t>
  </si>
  <si>
    <t>MANTECA FAMOSA SIERRA (CJX 10 KG)-CT</t>
  </si>
  <si>
    <t>MANTECA FAMOSA COSTA (CJX 10 KG)-PAN</t>
  </si>
  <si>
    <t>MANTECA FAMOSA COSTA (CJX 10 KG)-CT</t>
  </si>
  <si>
    <t>LUSTRAMUEBLES PREMIO SP 360ML, LIMON</t>
  </si>
  <si>
    <t>LUSTRAMUEBLE PREMIO 280ML, ORIGINAL</t>
  </si>
  <si>
    <t>LUSTRAMUEBLE PREMIO 280ML, LAVANDA</t>
  </si>
  <si>
    <t>LINGUINI GROSSO DON VITTORIO X 950 GR</t>
  </si>
  <si>
    <t>LINGUINI GROSSO DON VITTORIO X 500 GR</t>
  </si>
  <si>
    <t>LINGUINI DON VITTORIO X 500 GR</t>
  </si>
  <si>
    <t>LIMPIAVIDRIOS MULT.LAVANDAX500ML SAPOLIO</t>
  </si>
  <si>
    <t>LIMPIATODO X 900ML SAPOLIO, LIMON</t>
  </si>
  <si>
    <t>LIMPIATODO X 900ML SAPOLIO, FLORAL</t>
  </si>
  <si>
    <t>LIMPIATODO X 900ML SAPOLIO, BEBE</t>
  </si>
  <si>
    <t>LIMPIATODO SAPOLIO COCO X900ML</t>
  </si>
  <si>
    <t>LIMPIATODO FCO X 1800ML SAPOLIO, LAVANDA</t>
  </si>
  <si>
    <t>LIMPIATODO FCO X 1800ML SAPOLIO, BEBE</t>
  </si>
  <si>
    <t>LIMPIADOR POLVO MULT.X450GR SAPOLIO TUBO</t>
  </si>
  <si>
    <t>LIMPIA.DESINF.WC QUITASARROX500MLSAPOLIO</t>
  </si>
  <si>
    <t>LIMPIA TODO AB LAVANDA 4.9L</t>
  </si>
  <si>
    <t>LIMPIA TODO AB FLORAL 4.9L</t>
  </si>
  <si>
    <t>LIMPIA TODO AB COCO 4.9L</t>
  </si>
  <si>
    <t>LIMPIA TODO AB BEBÉ 4.9L</t>
  </si>
  <si>
    <t>LIMP. SAPOLIO PROF LAVANDA 4.2L</t>
  </si>
  <si>
    <t>LIMP. ACIDO SACASARRO SAPOLIO 3600ML</t>
  </si>
  <si>
    <t>LEJIA SAPOLIO CLORO 770GR</t>
  </si>
  <si>
    <t>LEJIA ORIGINAL SAPOLIO X 5 GL</t>
  </si>
  <si>
    <t>LEJIA CLORO SAPOLIO ORIGINAL 4.8 KG</t>
  </si>
  <si>
    <t>LEJIA CLORO SAPOLIO ORIGINAL 1.16KG</t>
  </si>
  <si>
    <t>LAVAVAJILLAS SAPOLIO ANTIBACTERIAL 800GR</t>
  </si>
  <si>
    <t>LAVAVAJILLA SAPOLIO PROF. MANZANA X 4L</t>
  </si>
  <si>
    <t>LAVAVAJILLA LIQUIDA X750ML SAPOLI, LIMON</t>
  </si>
  <si>
    <t>LAVAVAJILLA LIQUIDA X750ML SAPO, MANZANA</t>
  </si>
  <si>
    <t>LAVAV SAPOLIO  800GR, MANZANA</t>
  </si>
  <si>
    <t>LAVAV SAPOLIO  800GR, LIMON</t>
  </si>
  <si>
    <t>LAV. LIQ. SAPOLIO DP X450ML , LIMON</t>
  </si>
  <si>
    <t>KETCHUP X800GR A LA CENA</t>
  </si>
  <si>
    <t>KETCHUP ALACENA 8G (CJX250UN)-PB</t>
  </si>
  <si>
    <t>KETCHUP 380 GR ALA CENA</t>
  </si>
  <si>
    <t>JABON LIQ AVAL COCINA X400ML EUCALIPTO</t>
  </si>
  <si>
    <t>JABON LIQ AVAL ANTIB RITUAL RELAJ DP800M</t>
  </si>
  <si>
    <t>JABON LIQ AVAL ANTIB RITUAL RELAJ 400ML</t>
  </si>
  <si>
    <t>JABON LIQ ANTIB AVAL 1000ML, FRUT ROJ</t>
  </si>
  <si>
    <t>JABON LIQ ANTIB AVAL 1000ML , EUCALIP</t>
  </si>
  <si>
    <t>JABON BOLIVAR LIMON BIPACK 380GR</t>
  </si>
  <si>
    <t>JABON BARRA MARSELLA FLORAL 350GR</t>
  </si>
  <si>
    <t>JABON BARRA MARSELLA 175GR, FLORAL</t>
  </si>
  <si>
    <t>JABON BARRA BOLIVAR BIPACK 380GR, FLORAL</t>
  </si>
  <si>
    <t>JABON BARRA BOLIVAR BIPACK 380G, BABY</t>
  </si>
  <si>
    <t>JABON BARRA BOLIVAR 190GR, BABY</t>
  </si>
  <si>
    <t>JABON BARRA BOLIVAR 190GR LIMON</t>
  </si>
  <si>
    <t>JABON BARRA BOLIVAR 190GR</t>
  </si>
  <si>
    <t>JABLIQ AVAL DOYPK ANT FRESCO EUCAL 800ML</t>
  </si>
  <si>
    <t>JABLIQ AVAL DOYPCK ANT FRUTOS ROJOX800ML</t>
  </si>
  <si>
    <t>JAB.LIQ.AVAL LAVANDA FRANCESA DP 800ML</t>
  </si>
  <si>
    <t>JAB LIQUIDO AVAL CLASICO 1000ML , LAVAND</t>
  </si>
  <si>
    <t>JAB LIQ AVAL ANT PUMP,FRUTOS ROJOX400ML</t>
  </si>
  <si>
    <t>JAB LIQ AVAL ANT PUM PASION CITRI X400ML</t>
  </si>
  <si>
    <t>INSECTICIDA, MATA CUCARACHA/ARAÑA/HORM</t>
  </si>
  <si>
    <t>INSECTICIDA X 360, MATA TERMITA Y LARVA</t>
  </si>
  <si>
    <t>INSECTICIDA X 360, MATA MOSCAS/ZANCUDOS</t>
  </si>
  <si>
    <t>INSECTICIDA X 360 ML SAPOL, MATA PULGAS</t>
  </si>
  <si>
    <t>INSECTICIDA X 360 ML SAP, MATA POLILLAS</t>
  </si>
  <si>
    <t>INSECTICIDA X 360 ML SAP, CASA Y JARDIN</t>
  </si>
  <si>
    <t>INSECTICIDA SAPOLIO MATA TODOX360ML</t>
  </si>
  <si>
    <t>INSECTICIDA MATA ARAÑAS x 360ML SAPOLIO</t>
  </si>
  <si>
    <t>HARINA NICOLINI PASTELERA X50KG -CT</t>
  </si>
  <si>
    <t>HARINA NICOLINI PARTNERS INTEG X25KG-PAN</t>
  </si>
  <si>
    <t>HARINA INSUMO PANADERA X50KG -PAN</t>
  </si>
  <si>
    <t>GALLETA CASINO VICTORIA SIX PACK, MENTA</t>
  </si>
  <si>
    <t>GALLETA CASINO VICTORIA SIX PACK, FRESA</t>
  </si>
  <si>
    <t>GALLETA CASINO VICTORIA SIX PACK , 3 LEC</t>
  </si>
  <si>
    <t>GALLETA CASINO VICTORIA SIX P, CHOCOLATE</t>
  </si>
  <si>
    <t>FILETE DE ATUN PRIMOR X 140G</t>
  </si>
  <si>
    <t>FILETE DE ATUN PRIMOR SIXPACK X140GR</t>
  </si>
  <si>
    <t>FIDEOS X 225/250GR DON VITTORIO TORNILLO</t>
  </si>
  <si>
    <t>FIDEOS X 225/250GR DON VITTORIO CORBA GR</t>
  </si>
  <si>
    <t>FIDEOS X 225/250GR DON VITTORIO CODO RAY</t>
  </si>
  <si>
    <t>FIDEO X 500 GR DON VITTORIO, RIGATONI</t>
  </si>
  <si>
    <t>FIDEO X 500 GR DON VITTORIO , TORNILLO</t>
  </si>
  <si>
    <t>FIDEO X 500 GR DON VITTORIO , CODO RAYAD</t>
  </si>
  <si>
    <t>FIDEO RIGATONI X250GR DON VITTORIO</t>
  </si>
  <si>
    <t>FIDEO MUNICION X235/250G DON VITTORIO</t>
  </si>
  <si>
    <t>FIDEO CORBATA CHICA X235/250G DON VITTO</t>
  </si>
  <si>
    <t>FIDEO CODO RAY ESPIGA DE ORO 250G</t>
  </si>
  <si>
    <t>FIDEO CODO CHICO X235/250G DON VITTORIO</t>
  </si>
  <si>
    <t>FIDEO CARACOL CHICO X235/250G DON VITTO</t>
  </si>
  <si>
    <t>FIDEO CANUTO RAYADO X235/250G DON VITTO</t>
  </si>
  <si>
    <t>FIDEO CANUTO CHICO X235/250G DON VITTORI</t>
  </si>
  <si>
    <t>FIDEO CABELLO DE ANGEL X250GR NICOLINNI</t>
  </si>
  <si>
    <t>FETTUCCINI DON VITTORIO X 950 GR</t>
  </si>
  <si>
    <t>FETTUCCINI DON VITTORIO X 500 GR</t>
  </si>
  <si>
    <t>ENJUAGUE BUCAL X 500ML DE, MENTA NATURAL</t>
  </si>
  <si>
    <t>ENJUAGUE BUCAL X 500ML DE, MENTA GLACIAL</t>
  </si>
  <si>
    <t>ENJUAGUE BUCAL DENTITO X 25, TUTTI FRUTI</t>
  </si>
  <si>
    <t>ENJUAG.BUCAL DENTO XTRA MINT 980ML.6UND</t>
  </si>
  <si>
    <t>EMANADOR ELEC ZANC 6PAST+LIQ40ML SAPOLIO</t>
  </si>
  <si>
    <t>DUO SH 22ML+ ACO 10ML AMARAS, REPARACION</t>
  </si>
  <si>
    <t>DETERGENTE TROME FLORAL 1KG</t>
  </si>
  <si>
    <t>DETERGENTE TROME ENC FLORAL 140GR</t>
  </si>
  <si>
    <t>DETERGENTE SAPOLIO LIMON 730GR</t>
  </si>
  <si>
    <t>DETERGENTE SAPOLIO 13.5KG</t>
  </si>
  <si>
    <t>DETERGENTE PATITO LIMON X 140GR</t>
  </si>
  <si>
    <t>DETERGENTE PATITO BICAR. LIMON 640GR</t>
  </si>
  <si>
    <t>DETERGENTE PATITO BICAR. LIMON 4KG</t>
  </si>
  <si>
    <t>DETERGENTE PATITO BICAR. FLORAL 5.5KG</t>
  </si>
  <si>
    <t>DETERGENTE OPAL BLANCOS 730GR</t>
  </si>
  <si>
    <t>DETERGENTE OPAL BLANCOS 2.4KG</t>
  </si>
  <si>
    <t>DETERGENTE MARSELLA PROFESIONAL 13.5KG</t>
  </si>
  <si>
    <t>DETERGENTE MARSELLA PETALOS RELAJ X8KG</t>
  </si>
  <si>
    <t>DETERGENTE LIQ.SAPOLIOX 2, SUAVE TERNURA</t>
  </si>
  <si>
    <t>DETERGENTE LIQ.SAPOLIOX 2 LITROS, FLORES</t>
  </si>
  <si>
    <t>DETERGENTE LIQ.SAPOLIO X 1 LT, FLORES</t>
  </si>
  <si>
    <t>DETERGENTE EN POLVO OPAL ULTRA 730GR</t>
  </si>
  <si>
    <t>DETERGENTE EN POLVO OPAL ULTRA 5.6KG</t>
  </si>
  <si>
    <t>DETERGENTE EN POLVO OPAL ULTRA 4KG</t>
  </si>
  <si>
    <t>DETERGENTE EN POLVO OPAL ANTIBAC 4KG</t>
  </si>
  <si>
    <t>DETERGEN POLVO OPAL ANTIBACTERIAL 730GR</t>
  </si>
  <si>
    <t>DETERG SAPOLIO 4 KG LIMON</t>
  </si>
  <si>
    <t>DETERG SAPOLIO 4 KG AROMA BEBE</t>
  </si>
  <si>
    <t>DETERG SAPOLIO 2KG, LIMON</t>
  </si>
  <si>
    <t>DETERG SAPOLIO 2KG AROMA BEBE</t>
  </si>
  <si>
    <t>DET.MARSELLA PETALOS RELAJ 430GR</t>
  </si>
  <si>
    <t>DET.MARSELLA PETALOS RELAJ 2KG</t>
  </si>
  <si>
    <t>DET.MARSELLA PETALOS LAVANDA Y ROSAS 4KG</t>
  </si>
  <si>
    <t>DET.BOLIVAR CUIDADO SUAVIDAD 730GR</t>
  </si>
  <si>
    <t>DET.BOLIVAR CUIDADO SUAVIDAD 4.0KG</t>
  </si>
  <si>
    <t>DET.BOLIVAR CUIDADO SUAVIDAD 2.4KG</t>
  </si>
  <si>
    <t>DET. POLVO MARSELLA LAVANDA Y ROSAS 730G</t>
  </si>
  <si>
    <t>DET. MARSELLA BRISAS DEL NORTE 730GR</t>
  </si>
  <si>
    <t>DET. MARSELLA BRISAS DEL NORTE 4KG</t>
  </si>
  <si>
    <t>DET. MARSELLA BRISAS DEL NORTE 2KG</t>
  </si>
  <si>
    <t>DET. MARSELLA BRISAS DEL NORTE 140GR</t>
  </si>
  <si>
    <t>DET. MARSELLA AMAZONÍA TROPICAL 4.0KG</t>
  </si>
  <si>
    <t>DET. MARSELLA AMAZONÍA TROPICAL 2KG</t>
  </si>
  <si>
    <t>DET. LIQUIDO BOLIVAR FLORAL 1900ML</t>
  </si>
  <si>
    <t>DET. LIQ. BOLIVAR DOYPACK FLORAL X 3LT</t>
  </si>
  <si>
    <t>DET. BOLIVAR CUIDADO TOTAL DOYPACK 1.2L</t>
  </si>
  <si>
    <t>DET. BOLIVAR CUIDADO TOTAL 9KG</t>
  </si>
  <si>
    <t>DET. BOLIVAR CUIDADO TOTAL 730GR</t>
  </si>
  <si>
    <t>DET. BOLIVAR CUIDADO TOTAL 5.6KG</t>
  </si>
  <si>
    <t>DET. BOLIVAR CUIDADO TOTAL 4.0KG</t>
  </si>
  <si>
    <t>DET. BOLIVAR CUIDADO TOTAL 2.4KG</t>
  </si>
  <si>
    <t>DET. BOLIVAR CUIDADO MICELAR 730GR</t>
  </si>
  <si>
    <t>DET. BOLIVAR CUIDADO MICELAR 4.0KG</t>
  </si>
  <si>
    <t>DET. BOLIVAR BEBES NIÑOS 730GR</t>
  </si>
  <si>
    <t>DET. BOLIVAR BEBES NIÑOS 1.5KG</t>
  </si>
  <si>
    <t>DET POLVO OPAL 2.4KG, ULTRA</t>
  </si>
  <si>
    <t>DET POLVO OPAL 2.4KG, ANTIBACTER</t>
  </si>
  <si>
    <t>DET MARSELLA JAZMIN ROSAS 730GR</t>
  </si>
  <si>
    <t>DET MARSELLA JAZMIN ROSAS 2KG</t>
  </si>
  <si>
    <t>DESINFECTANTE FCOX1800ML SAPOLIO, PINO</t>
  </si>
  <si>
    <t>DESINFECTANTE FCOX1800ML SAPOLI, LAVANDA</t>
  </si>
  <si>
    <t>DESATORADOR DE COCINA X 980ML SAPOLIO</t>
  </si>
  <si>
    <t>DENTO MÁXIMA BLANCURA 75ML X2</t>
  </si>
  <si>
    <t>DENTO ENJUAGUE BUCAL XTRA COOL X 500ML</t>
  </si>
  <si>
    <t>CREMA X 85 GR. ALACENA, ROCOTO</t>
  </si>
  <si>
    <t>CREMA X 400 GR. ALACENA, ROCOTO UCHUCUTA</t>
  </si>
  <si>
    <t>CREMA PEINAR AMARAS LARGO 12FCO300ML</t>
  </si>
  <si>
    <t>CREMA LAVAVAJILLA LAVAX VERDE 700G</t>
  </si>
  <si>
    <t>CREMA LAVAVAJILLA LAVAX UVA 700G</t>
  </si>
  <si>
    <t>CREMA LAVAVAJILLA LAVAX ROSADO 700G</t>
  </si>
  <si>
    <t>CREMA LAVAVAJILLA LAVAX AVENA 850G</t>
  </si>
  <si>
    <t>CREMA LAVAVAJILLA LAVAX ALOE 850 G</t>
  </si>
  <si>
    <t>CREMA HUANCAINA 85 GR ALACENA</t>
  </si>
  <si>
    <t>CREMA HUANCAINA 400GR A LA CENA</t>
  </si>
  <si>
    <t>CREMA DE PEINAR AMARAS 300 ML, RIZOS</t>
  </si>
  <si>
    <t>CREMA DE AJI X 85 GR TARI</t>
  </si>
  <si>
    <t>CREMA DE AJI X 400 GR TARI</t>
  </si>
  <si>
    <t>CREMA DE AJI TARI BOT X 334.5G ALACENA</t>
  </si>
  <si>
    <t>CR.DENTO T.ACC.ICE  TRIPACK 80GR 24PCK</t>
  </si>
  <si>
    <t>CR.DENTO HERBAL TRIPACK 90GR 24PCK</t>
  </si>
  <si>
    <t>CR.DENTO BLANCURA TRIPACK 80GR</t>
  </si>
  <si>
    <t>CR.DENTO BLANCURA NATU.SIXPACK 80GR</t>
  </si>
  <si>
    <t>CR.DENTO ANTICARIES TRIPACK 80GR</t>
  </si>
  <si>
    <t>CR.DENTO ANTICARIES SIXPACK 80GR 12PCK</t>
  </si>
  <si>
    <t>CERA PASTA SAPOLIO 300ML,ROJA</t>
  </si>
  <si>
    <t>CABELLO DE ANGEL X250GR DON VITTORIO</t>
  </si>
  <si>
    <t>ANTIHONGOS C/GAT.X650 ML SAPOLIO</t>
  </si>
  <si>
    <t>AMBIENTADOR SAPOLIOX3, VAINILLA FRANCESA</t>
  </si>
  <si>
    <t>AMBIENTADOR SAPOLIO, POTPOURRI DE FLORES</t>
  </si>
  <si>
    <t>AMBIENTADOR SAPOLIO PERFUMATIC, VAINILLA</t>
  </si>
  <si>
    <t>AMBIENTADOR SAPOLIO P, LAVANDA SILVESTRE</t>
  </si>
  <si>
    <t>AMBIENTADOR SAPOLIO 360ML, MELON</t>
  </si>
  <si>
    <t>AMBIENTADOR SAPOLIO 360ML, COCO</t>
  </si>
  <si>
    <t>AMBIENT.X 360 ML SA, POTPOURRI DE FLORES</t>
  </si>
  <si>
    <t>AMB SAPOLIO x360ML,ARRULLOS DE BEBE</t>
  </si>
  <si>
    <t>AMB SAPOLIO x360ML, LAVANDA SILVESTRE</t>
  </si>
  <si>
    <t>AMARAS SHAMPOO CONTROL DE GRASA 700ML</t>
  </si>
  <si>
    <t>AMARAS SHAMPOO CONTROL DE GRASA 400ML</t>
  </si>
  <si>
    <t>AMARAS ACO PUNTAS HIDRATADAS 475ML</t>
  </si>
  <si>
    <t>AMARAS ACO PUNTAS HIDRATADAS 260ML</t>
  </si>
  <si>
    <t>ACONDICIONADOR AMARAS 475ML, CNTRL FRIZZ</t>
  </si>
  <si>
    <t>ACONDICIONADOR AMARAS 260ML, CNTRL FRIZZ</t>
  </si>
  <si>
    <t>ACONDICIONADOR AMARAS 260 ML, RIZOS</t>
  </si>
  <si>
    <t>ACONDICIONADOR AMARAS 260 ML, REPARACION</t>
  </si>
  <si>
    <t>ACONDI AMARAS LARGO 12FCO475ML</t>
  </si>
  <si>
    <t>ACONDI AMARAS LARGO 12FCO260ML</t>
  </si>
  <si>
    <t>ACO MAGIA ANDINA AMARÁS REST NUTRI 475ML</t>
  </si>
  <si>
    <t>ACO AMARÁS MAGIA ANDINA NUTRIO 260 ML</t>
  </si>
  <si>
    <t>ACIDO LIMPIADO SAPOLIO SACASARROX1800ML</t>
  </si>
  <si>
    <t>ACEITE X 5 LT PRIMOR</t>
  </si>
  <si>
    <t>ACEITE VEGETAL X 5 LT COCINERO</t>
  </si>
  <si>
    <t>ACEITE VEGETAL FRIOL X 18 LT</t>
  </si>
  <si>
    <t>ACEITE PRIMOR PREMIUM X 900ML</t>
  </si>
  <si>
    <t>ACEITE PRIMOR CLASICO X 900ML</t>
  </si>
  <si>
    <t>ACEITE FRIOL SOYA X5LT (CJX 20LT)-SB</t>
  </si>
  <si>
    <t>ACEITE FRIOL SOYA X5LT (CJX 20LT)-PAN</t>
  </si>
  <si>
    <t>ACEITE FRIOL SOYA BID X 5 LT PC</t>
  </si>
  <si>
    <t>ACEITE CRISOL FRITURA INTENSA X20LT- WB</t>
  </si>
  <si>
    <t>ACEITE CRISOL FRITURA INTENSA X20LT- PB</t>
  </si>
  <si>
    <t>ACEITE CRISOL FRITURA INTENSA 20L</t>
  </si>
  <si>
    <t>ACEITE COCINERO X20LT - CT</t>
  </si>
  <si>
    <t>ACEITE COCINERO X 900ML</t>
  </si>
  <si>
    <t>ACEITE COCINERO BALDE X 20L</t>
  </si>
  <si>
    <t>ACEITE CIL BALDE X 20L</t>
  </si>
  <si>
    <t>MOLITALIA S.A</t>
  </si>
  <si>
    <t>WAFER NIK COSTA SIXPACK, VAINILLA</t>
  </si>
  <si>
    <t>WAFER NIK COSTA SIXPACK, MARACUYAMANGO</t>
  </si>
  <si>
    <t>WAFER NIK COSTA SIXPACK, FRESA</t>
  </si>
  <si>
    <t>WAFER NIK COSTA SIXPACK, CHOCOLATE</t>
  </si>
  <si>
    <t>WAFER NIK 6X75G, VAINILLA</t>
  </si>
  <si>
    <t>WAFER NIK 6X75G, FRESA</t>
  </si>
  <si>
    <t>WAFER NIK 6X75G, CHOCOLATE</t>
  </si>
  <si>
    <t>WAFER COSTA 105G , VAINILLA</t>
  </si>
  <si>
    <t>WAFER COSTA 105G , FRESA</t>
  </si>
  <si>
    <t>WAFER COSTA 105G , CHOCOLATE</t>
  </si>
  <si>
    <t>TRIFRUNA CHICHA MANZ PIÑA AMBROSOLI 420G</t>
  </si>
  <si>
    <t>TALLARIN # 43 X 450GR MOLITALIA E.T.</t>
  </si>
  <si>
    <t>SPAGHETTI X 950GR MOLITALIA</t>
  </si>
  <si>
    <t>SPAGHETTI X 450 GR MOLITALIA</t>
  </si>
  <si>
    <t>SEMOLA MOLITALIA X 250 GR</t>
  </si>
  <si>
    <t>SALSAS ROJA CARNE LISTA 170GR POMAROLA</t>
  </si>
  <si>
    <t>SALSA TOMATE POMAROLA X 250 GR MOLITALIA</t>
  </si>
  <si>
    <t>SALSA POMAROLA X 145GR. MOLITALIA</t>
  </si>
  <si>
    <t>SALSA CASERA HONGOS LAUREL 170GR</t>
  </si>
  <si>
    <t>QUINUA AVENA 3 OSITOS X 270 GR</t>
  </si>
  <si>
    <t>QUINUA AVENA 3 OSITOS X 150 GR</t>
  </si>
  <si>
    <t>PREMEZCLA TORTA CHOCO. MOLITALIA X 500G</t>
  </si>
  <si>
    <t>PREMEZCLA KEKE VAINILLA MOLITALIA X 450G</t>
  </si>
  <si>
    <t>PREMEZCLA KEKE NARANJA MOLITALIA X 450G</t>
  </si>
  <si>
    <t>PASTAS ENSALADA MOLITALIA 125G O TORNILLO</t>
  </si>
  <si>
    <t>PANETON TODINNO CAJA 900 GR + TODINNITO</t>
  </si>
  <si>
    <t>PANETON TODINNO BOLSA 900G+TODINNITO 85G</t>
  </si>
  <si>
    <t>PACK CEREAL BAR MINI VARIOS X 175 GR</t>
  </si>
  <si>
    <t>OLD ENGLAND TOFFEE SURTIDO 100UN AMBROSOLI</t>
  </si>
  <si>
    <t>OLD ENGLAND TOFFEE MINT 100UNID AMBROSOLI</t>
  </si>
  <si>
    <t>OLD ENGLAND TOFFEE CHOCO 100UN AMBROSOLI</t>
  </si>
  <si>
    <t>MOLITALIA TORNILLO 20X250 GR</t>
  </si>
  <si>
    <t>MOLITALIA LETRAS 20X250 GR</t>
  </si>
  <si>
    <t>MOLITALIA FUSILLI TRICOLOR 20X250G</t>
  </si>
  <si>
    <t>MINI CANCUN 20 BL X 22 UN</t>
  </si>
  <si>
    <t>MERMELADA FRESA X 100GR FANNY BARRIL</t>
  </si>
  <si>
    <t>MERMELADA FANNY POTE 310GR</t>
  </si>
  <si>
    <t>MERMELADA DOY PACK FRESA X 200GR FANNY</t>
  </si>
  <si>
    <t>MENTINAS AMBROSOLI 18GR</t>
  </si>
  <si>
    <t>MARSHMALLOWS MELLOWS 230 GR AMBROSOLI</t>
  </si>
  <si>
    <t>MACA AVENA 3 OSITOS X 270 GR</t>
  </si>
  <si>
    <t>MACA AVENA 3 OSITOS X 150 GR</t>
  </si>
  <si>
    <t>LINGUINE # 43 ET X 450GR B. MOLITALIA</t>
  </si>
  <si>
    <t>HARINA SIN PREPARAR X 1KG MOLITALIA</t>
  </si>
  <si>
    <t>GRAN CEREAL CACAO 6X35 G. CHOCOLATE</t>
  </si>
  <si>
    <t>GOMAS FRUCELE FRUTA X 130GR AMBROSOLI</t>
  </si>
  <si>
    <t>GOMAS AMBROSOLI GUSANOS ACIDOS X 400GR</t>
  </si>
  <si>
    <t>GOMAS AMBROSOLI FLIPY X 400GR</t>
  </si>
  <si>
    <t>GOMAS AMBROSOLI AMBROSITOS ACIDOS X 90GR</t>
  </si>
  <si>
    <t>GOMAS AMBROSO RELLENO AMBROSOLI 90 G</t>
  </si>
  <si>
    <t>GOMAS AMBROSITOS 80 GR</t>
  </si>
  <si>
    <t>GOMAS AMBROSIA X 400GR AMBROSOLI</t>
  </si>
  <si>
    <t>GOMAS AMBROSIA 50GR</t>
  </si>
  <si>
    <t>GOMAS AMBROSAURIOS AMBROSOLI 90 G</t>
  </si>
  <si>
    <t>GALLETAS MORADAS COSTA SIX PACK 135G</t>
  </si>
  <si>
    <t>GALLETAS FRAC CLASICA PACK X 6 COSTA</t>
  </si>
  <si>
    <t>GALLETA SODA LINE PACK X 6 COSTA</t>
  </si>
  <si>
    <t>GALLETA RELLENA CHOCMAN SIXPACK X 40GR</t>
  </si>
  <si>
    <t>GALLETA INTEGRALES X 250GR COSTA</t>
  </si>
  <si>
    <t>GALLETA GRAN CEREAL CLASICA X 20X3G</t>
  </si>
  <si>
    <t>GALLETA CRACKELET JAMON AHUMADO 67G COSTA</t>
  </si>
  <si>
    <t>GALLETA CHOCODONUT BLANCO SIXPACK</t>
  </si>
  <si>
    <t>GALLETA CHIPS COSTA SIX PACK COLORES</t>
  </si>
  <si>
    <t>GALLETA CHIPS CHOCO LATE COSTA SIXPACK</t>
  </si>
  <si>
    <t>FRUNA TRIFRUNA AMBROSOLI 420 GR</t>
  </si>
  <si>
    <t>FRUNA PERSONAL AMBROSOLI 72 GR</t>
  </si>
  <si>
    <t>FIDEO TORNILLO X 500GR MOLITALIA</t>
  </si>
  <si>
    <t>FIDEO MACARRON X 500 GR MOLITALIA</t>
  </si>
  <si>
    <t>FIDEO CABELLO ANGEL 24 X 250GR MOLITALIA</t>
  </si>
  <si>
    <t>DOYPACK DELI FRESA X 300GR FANNY</t>
  </si>
  <si>
    <t>DELI FRESA BARRIL X 850GR FANNY</t>
  </si>
  <si>
    <t>CRACKELET COSTA 150G, JAMON</t>
  </si>
  <si>
    <t>CONCENTRADO DE TOMATE MOLITALIA 113G</t>
  </si>
  <si>
    <t>CONCENTR. TOMATE POMAROLA MOLITALIA 113G</t>
  </si>
  <si>
    <t>COCOROKO LIMON X 350 GR AMBROSOLI</t>
  </si>
  <si>
    <t>COCOROKO FRESITA X 350 GR AMBROSOLI</t>
  </si>
  <si>
    <t>CHUPETIN TUTTI FRUTTI 24UND AMBROSOLI</t>
  </si>
  <si>
    <t>CHUPETIN SURTIDO 24UND AMBROSOLI</t>
  </si>
  <si>
    <t>CHUPETE QUE LOCO 20 UN</t>
  </si>
  <si>
    <t>CHUPETE PIZZERIAS AMBROSOLI BOLSA 500G</t>
  </si>
  <si>
    <t>CHOCOLATE VIZZIO CRAC NIX X 122 GR</t>
  </si>
  <si>
    <t>CHOCOLATE VIZZIO CRAC NIX CRUNCH X 45GR</t>
  </si>
  <si>
    <t>CHOCOLATE VIZZIO COSTA 62G</t>
  </si>
  <si>
    <t>CHOCOLATE VIZZIO COSTA 15.5GR</t>
  </si>
  <si>
    <t>CHOCOLATE VIZZIO BITTER 63 GR COSTA</t>
  </si>
  <si>
    <t>CHOCOLATE VIZZIO 122 GR ESTUCHE</t>
  </si>
  <si>
    <t>CHOCOLATE CRUNCH VIZZIO X 21G</t>
  </si>
  <si>
    <t>CHOCOLATE CON MANI VIZZIO X 21G</t>
  </si>
  <si>
    <t>CHOCOLATE 182 GR VIZZIO LATA</t>
  </si>
  <si>
    <t>CHOCODONUTS COSTA SIX PACK CHOCOLATE</t>
  </si>
  <si>
    <t>CHOCMAN SIX PACK 101G</t>
  </si>
  <si>
    <t>CHOCMAN DOBLE MANJAR COSTA SIX PACK</t>
  </si>
  <si>
    <t>CHOCMAN DOBLE BLACK COSTA 30.5G</t>
  </si>
  <si>
    <t>CHOCMAN BLACK COSTA 174G</t>
  </si>
  <si>
    <t>CEREAL BAR PROTEIN X 6 U. CARAMELO</t>
  </si>
  <si>
    <t>CEREAL BAR DISPLAY X 12 U., GOLDEN</t>
  </si>
  <si>
    <t>CEREAL BAR DISPLAY X 12 U., CHOCO</t>
  </si>
  <si>
    <t>CEREAL BAR DISPLAY X 12 U., CHIPS</t>
  </si>
  <si>
    <t>CEREAL BAR DISPLAY X 12 U., ARANDANO</t>
  </si>
  <si>
    <t>CARAMELOS BANDERITAS AMBROSOLI X 200GR</t>
  </si>
  <si>
    <t>CARAMELOS AMBROSOLI GAJO SURT. FRUT. X 100</t>
  </si>
  <si>
    <t>CARAMELO OH! AMBROSOLI 620 GR 100 UNID</t>
  </si>
  <si>
    <t>CARAMELO BON AMI FRUTA 100X4.3 GR</t>
  </si>
  <si>
    <t>CARAM. GAJOS LIMON X 100UNID AMBROSOLI</t>
  </si>
  <si>
    <t>BIZCOCHO MINI CHOC MAN X 20X21 GR</t>
  </si>
  <si>
    <t>BIZCOCHO DANCUN PACK X 6</t>
  </si>
  <si>
    <t>AVENA PREMIUM CLASICA 3 OSITOS X 500 GR</t>
  </si>
  <si>
    <t>AVENA PREMIUM CLASICA 3 OSITOS X 200 GR</t>
  </si>
  <si>
    <t>AVENA CLASICA 3 OSITOS 85 GR</t>
  </si>
  <si>
    <t>AVENA CHOCOLATE 180GR 3 OSITOS</t>
  </si>
  <si>
    <t>AVENA CEREAL ANDINO 3 OSITOS 270 GR</t>
  </si>
  <si>
    <t>AVENA 3 OSITOS X 900GR CLASICA</t>
  </si>
  <si>
    <t>NIVEL</t>
  </si>
  <si>
    <t>Justificación Técnica</t>
  </si>
  <si>
    <t>N.F.</t>
  </si>
  <si>
    <t>PROVEEDOR</t>
  </si>
  <si>
    <t>DESCRIPCION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</si>
</sst>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Segoe UI"/>
      <family val="2"/>
    </font>
    <font>
      <b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munidadupnedu-my.sharepoint.com/personal/n00325202_upn_pe/Documents/Desktop/SLOTTING%20DINAMICO/DATA%20FRAGILIDAD.xlsx" TargetMode="External"/><Relationship Id="rId1" Type="http://schemas.openxmlformats.org/officeDocument/2006/relationships/externalLinkPath" Target="DATA%20FRAGIL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FRAGILIDAD"/>
    </sheetNames>
    <sheetDataSet>
      <sheetData sheetId="0">
        <row r="2">
          <cell r="A2">
            <v>5</v>
          </cell>
          <cell r="B2" t="str">
            <v>Nivel 5 (Ultra Resistente)</v>
          </cell>
          <cell r="C2" t="str">
            <v>Bidones, sacos pesados (10 kg - 50 kg) y baldes de 20 L. Forman la base inferior que soporta la carga total.</v>
          </cell>
        </row>
        <row r="3">
          <cell r="A3">
            <v>4</v>
          </cell>
          <cell r="B3" t="str">
            <v>Nivel 4 (Muy Resistente)</v>
          </cell>
          <cell r="C3" t="str">
            <v>Botellas grandes (4 L - 5 L), sacos de peso medio (4 kg - 9 kg) y envases estructuralmente sólidos. Forman la base superior.</v>
          </cell>
        </row>
        <row r="4">
          <cell r="A4">
            <v>3</v>
          </cell>
          <cell r="B4" t="str">
            <v>Nivel 3 (Normal)</v>
          </cell>
          <cell r="C4" t="str">
            <v>Cajas Tetra Pak (leche, jugos), conservas y botellas PET estándar (champú, lejía de 1 L). Forman el centro del pallet.</v>
          </cell>
        </row>
        <row r="5">
          <cell r="A5">
            <v>2</v>
          </cell>
          <cell r="B5" t="str">
            <v>Nivel 2 (Frágil)</v>
          </cell>
          <cell r="C5" t="str">
            <v>Cajas de pastas, sachets medianos (mayonesa) y empaques de detergente en polvo. Van en las capas superiores, soportando peso mínimo.</v>
          </cell>
        </row>
        <row r="6">
          <cell r="A6">
            <v>1</v>
          </cell>
          <cell r="B6" t="str">
            <v>Nivel 1 (Muy Frágil)</v>
          </cell>
          <cell r="C6" t="str">
            <v>Snacks, galletas, chocolates, sopas instantáneas y sobres. Van en la cima absoluta, sin soportar ninguna carga encima.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50D0-85B6-4A6F-836D-1CE629666BF9}">
  <dimension ref="A1:E476"/>
  <sheetViews>
    <sheetView tabSelected="1" zoomScale="130" zoomScaleNormal="130" workbookViewId="0">
      <selection activeCell="A17" sqref="A17"/>
    </sheetView>
  </sheetViews>
  <sheetFormatPr baseColWidth="10" defaultColWidth="8.88671875" defaultRowHeight="14.4" x14ac:dyDescent="0.3"/>
  <cols>
    <col min="1" max="1" width="46" customWidth="1"/>
    <col min="2" max="2" width="17.21875" style="1" customWidth="1"/>
    <col min="3" max="3" width="10.33203125" style="1" customWidth="1"/>
    <col min="4" max="4" width="49.33203125" hidden="1" customWidth="1"/>
    <col min="5" max="5" width="20.88671875" customWidth="1"/>
  </cols>
  <sheetData>
    <row r="1" spans="1:5" ht="16.8" x14ac:dyDescent="0.3">
      <c r="A1" s="6" t="s">
        <v>489</v>
      </c>
      <c r="B1" s="6" t="s">
        <v>488</v>
      </c>
      <c r="C1" s="6" t="s">
        <v>487</v>
      </c>
      <c r="D1" s="6" t="s">
        <v>486</v>
      </c>
      <c r="E1" s="5" t="s">
        <v>485</v>
      </c>
    </row>
    <row r="2" spans="1:5" ht="16.8" x14ac:dyDescent="0.3">
      <c r="A2" s="3" t="s">
        <v>484</v>
      </c>
      <c r="B2" s="4" t="s">
        <v>372</v>
      </c>
      <c r="C2" s="4">
        <v>1</v>
      </c>
      <c r="D2" s="3" t="s">
        <v>5</v>
      </c>
      <c r="E2" s="2" t="str">
        <f>+VLOOKUP(C2,FRAGILIDAD,2,0)</f>
        <v>Nivel 1 (Muy Frágil)</v>
      </c>
    </row>
    <row r="3" spans="1:5" ht="16.8" x14ac:dyDescent="0.3">
      <c r="A3" s="3" t="s">
        <v>483</v>
      </c>
      <c r="B3" s="4" t="s">
        <v>372</v>
      </c>
      <c r="C3" s="4">
        <v>1</v>
      </c>
      <c r="D3" s="3" t="s">
        <v>5</v>
      </c>
      <c r="E3" s="2" t="str">
        <f>+VLOOKUP(C3,FRAGILIDAD,2,0)</f>
        <v>Nivel 1 (Muy Frágil)</v>
      </c>
    </row>
    <row r="4" spans="1:5" ht="16.8" x14ac:dyDescent="0.3">
      <c r="A4" s="3" t="s">
        <v>482</v>
      </c>
      <c r="B4" s="4" t="s">
        <v>372</v>
      </c>
      <c r="C4" s="4">
        <v>1</v>
      </c>
      <c r="D4" s="3" t="s">
        <v>5</v>
      </c>
      <c r="E4" s="2" t="str">
        <f>+VLOOKUP(C4,FRAGILIDAD,2,0)</f>
        <v>Nivel 1 (Muy Frágil)</v>
      </c>
    </row>
    <row r="5" spans="1:5" ht="16.8" x14ac:dyDescent="0.3">
      <c r="A5" s="3" t="s">
        <v>481</v>
      </c>
      <c r="B5" s="4" t="s">
        <v>372</v>
      </c>
      <c r="C5" s="4">
        <v>1</v>
      </c>
      <c r="D5" s="3" t="s">
        <v>5</v>
      </c>
      <c r="E5" s="2" t="str">
        <f>+VLOOKUP(C5,FRAGILIDAD,2,0)</f>
        <v>Nivel 1 (Muy Frágil)</v>
      </c>
    </row>
    <row r="6" spans="1:5" ht="16.8" x14ac:dyDescent="0.3">
      <c r="A6" s="3" t="s">
        <v>480</v>
      </c>
      <c r="B6" s="4" t="s">
        <v>372</v>
      </c>
      <c r="C6" s="4">
        <v>1</v>
      </c>
      <c r="D6" s="3" t="s">
        <v>5</v>
      </c>
      <c r="E6" s="2" t="str">
        <f>+VLOOKUP(C6,FRAGILIDAD,2,0)</f>
        <v>Nivel 1 (Muy Frágil)</v>
      </c>
    </row>
    <row r="7" spans="1:5" ht="16.8" x14ac:dyDescent="0.3">
      <c r="A7" s="3" t="s">
        <v>479</v>
      </c>
      <c r="B7" s="4" t="s">
        <v>372</v>
      </c>
      <c r="C7" s="4">
        <v>1</v>
      </c>
      <c r="D7" s="3" t="s">
        <v>5</v>
      </c>
      <c r="E7" s="2" t="str">
        <f>+VLOOKUP(C7,FRAGILIDAD,2,0)</f>
        <v>Nivel 1 (Muy Frágil)</v>
      </c>
    </row>
    <row r="8" spans="1:5" ht="16.8" x14ac:dyDescent="0.3">
      <c r="A8" s="3" t="s">
        <v>478</v>
      </c>
      <c r="B8" s="4" t="s">
        <v>372</v>
      </c>
      <c r="C8" s="4">
        <v>1</v>
      </c>
      <c r="D8" s="3" t="s">
        <v>5</v>
      </c>
      <c r="E8" s="2" t="str">
        <f>+VLOOKUP(C8,FRAGILIDAD,2,0)</f>
        <v>Nivel 1 (Muy Frágil)</v>
      </c>
    </row>
    <row r="9" spans="1:5" ht="16.8" x14ac:dyDescent="0.3">
      <c r="A9" s="3" t="s">
        <v>477</v>
      </c>
      <c r="B9" s="4" t="s">
        <v>372</v>
      </c>
      <c r="C9" s="4">
        <v>1</v>
      </c>
      <c r="D9" s="3" t="s">
        <v>5</v>
      </c>
      <c r="E9" s="2" t="str">
        <f>+VLOOKUP(C9,FRAGILIDAD,2,0)</f>
        <v>Nivel 1 (Muy Frágil)</v>
      </c>
    </row>
    <row r="10" spans="1:5" ht="16.8" x14ac:dyDescent="0.3">
      <c r="A10" s="3" t="s">
        <v>476</v>
      </c>
      <c r="B10" s="4" t="s">
        <v>372</v>
      </c>
      <c r="C10" s="4">
        <v>3</v>
      </c>
      <c r="D10" s="3" t="s">
        <v>3</v>
      </c>
      <c r="E10" s="2" t="str">
        <f>+VLOOKUP(C10,FRAGILIDAD,2,0)</f>
        <v>Nivel 3 (Normal)</v>
      </c>
    </row>
    <row r="11" spans="1:5" ht="16.8" x14ac:dyDescent="0.3">
      <c r="A11" s="3" t="s">
        <v>475</v>
      </c>
      <c r="B11" s="4" t="s">
        <v>372</v>
      </c>
      <c r="C11" s="4">
        <v>1</v>
      </c>
      <c r="D11" s="3" t="s">
        <v>5</v>
      </c>
      <c r="E11" s="2" t="str">
        <f>+VLOOKUP(C11,FRAGILIDAD,2,0)</f>
        <v>Nivel 1 (Muy Frágil)</v>
      </c>
    </row>
    <row r="12" spans="1:5" ht="16.8" x14ac:dyDescent="0.3">
      <c r="A12" s="3" t="s">
        <v>474</v>
      </c>
      <c r="B12" s="4" t="s">
        <v>372</v>
      </c>
      <c r="C12" s="4">
        <v>1</v>
      </c>
      <c r="D12" s="3" t="s">
        <v>5</v>
      </c>
      <c r="E12" s="2" t="str">
        <f>+VLOOKUP(C12,FRAGILIDAD,2,0)</f>
        <v>Nivel 1 (Muy Frágil)</v>
      </c>
    </row>
    <row r="13" spans="1:5" ht="16.8" x14ac:dyDescent="0.3">
      <c r="A13" s="3" t="s">
        <v>473</v>
      </c>
      <c r="B13" s="4" t="s">
        <v>372</v>
      </c>
      <c r="C13" s="4">
        <v>1</v>
      </c>
      <c r="D13" s="3" t="s">
        <v>5</v>
      </c>
      <c r="E13" s="2" t="str">
        <f>+VLOOKUP(C13,FRAGILIDAD,2,0)</f>
        <v>Nivel 1 (Muy Frágil)</v>
      </c>
    </row>
    <row r="14" spans="1:5" ht="16.8" x14ac:dyDescent="0.3">
      <c r="A14" s="3" t="s">
        <v>472</v>
      </c>
      <c r="B14" s="4" t="s">
        <v>372</v>
      </c>
      <c r="C14" s="4">
        <v>1</v>
      </c>
      <c r="D14" s="3" t="s">
        <v>5</v>
      </c>
      <c r="E14" s="2" t="str">
        <f>+VLOOKUP(C14,FRAGILIDAD,2,0)</f>
        <v>Nivel 1 (Muy Frágil)</v>
      </c>
    </row>
    <row r="15" spans="1:5" ht="16.8" x14ac:dyDescent="0.3">
      <c r="A15" s="3" t="s">
        <v>471</v>
      </c>
      <c r="B15" s="4" t="s">
        <v>372</v>
      </c>
      <c r="C15" s="4">
        <v>1</v>
      </c>
      <c r="D15" s="3" t="s">
        <v>5</v>
      </c>
      <c r="E15" s="2" t="str">
        <f>+VLOOKUP(C15,FRAGILIDAD,2,0)</f>
        <v>Nivel 1 (Muy Frágil)</v>
      </c>
    </row>
    <row r="16" spans="1:5" ht="16.8" x14ac:dyDescent="0.3">
      <c r="A16" s="3" t="s">
        <v>470</v>
      </c>
      <c r="B16" s="4" t="s">
        <v>372</v>
      </c>
      <c r="C16" s="4">
        <v>1</v>
      </c>
      <c r="D16" s="3" t="s">
        <v>5</v>
      </c>
      <c r="E16" s="2" t="str">
        <f>+VLOOKUP(C16,FRAGILIDAD,2,0)</f>
        <v>Nivel 1 (Muy Frágil)</v>
      </c>
    </row>
    <row r="17" spans="1:5" ht="16.8" x14ac:dyDescent="0.3">
      <c r="A17" s="3" t="s">
        <v>469</v>
      </c>
      <c r="B17" s="4" t="s">
        <v>372</v>
      </c>
      <c r="C17" s="4">
        <v>1</v>
      </c>
      <c r="D17" s="3" t="s">
        <v>5</v>
      </c>
      <c r="E17" s="2" t="str">
        <f>+VLOOKUP(C17,FRAGILIDAD,2,0)</f>
        <v>Nivel 1 (Muy Frágil)</v>
      </c>
    </row>
    <row r="18" spans="1:5" ht="16.8" x14ac:dyDescent="0.3">
      <c r="A18" s="3" t="s">
        <v>468</v>
      </c>
      <c r="B18" s="4" t="s">
        <v>372</v>
      </c>
      <c r="C18" s="4">
        <v>1</v>
      </c>
      <c r="D18" s="3" t="s">
        <v>5</v>
      </c>
      <c r="E18" s="2" t="str">
        <f>+VLOOKUP(C18,FRAGILIDAD,2,0)</f>
        <v>Nivel 1 (Muy Frágil)</v>
      </c>
    </row>
    <row r="19" spans="1:5" ht="16.8" x14ac:dyDescent="0.3">
      <c r="A19" s="3" t="s">
        <v>467</v>
      </c>
      <c r="B19" s="4" t="s">
        <v>372</v>
      </c>
      <c r="C19" s="4">
        <v>1</v>
      </c>
      <c r="D19" s="3" t="s">
        <v>5</v>
      </c>
      <c r="E19" s="2" t="str">
        <f>+VLOOKUP(C19,FRAGILIDAD,2,0)</f>
        <v>Nivel 1 (Muy Frágil)</v>
      </c>
    </row>
    <row r="20" spans="1:5" ht="16.8" x14ac:dyDescent="0.3">
      <c r="A20" s="3" t="s">
        <v>466</v>
      </c>
      <c r="B20" s="4" t="s">
        <v>372</v>
      </c>
      <c r="C20" s="4">
        <v>1</v>
      </c>
      <c r="D20" s="3" t="s">
        <v>5</v>
      </c>
      <c r="E20" s="2" t="str">
        <f>+VLOOKUP(C20,FRAGILIDAD,2,0)</f>
        <v>Nivel 1 (Muy Frágil)</v>
      </c>
    </row>
    <row r="21" spans="1:5" ht="16.8" x14ac:dyDescent="0.3">
      <c r="A21" s="3" t="s">
        <v>465</v>
      </c>
      <c r="B21" s="4" t="s">
        <v>372</v>
      </c>
      <c r="C21" s="4">
        <v>1</v>
      </c>
      <c r="D21" s="3" t="s">
        <v>5</v>
      </c>
      <c r="E21" s="2" t="str">
        <f>+VLOOKUP(C21,FRAGILIDAD,2,0)</f>
        <v>Nivel 1 (Muy Frágil)</v>
      </c>
    </row>
    <row r="22" spans="1:5" ht="16.8" x14ac:dyDescent="0.3">
      <c r="A22" s="3" t="s">
        <v>464</v>
      </c>
      <c r="B22" s="4" t="s">
        <v>372</v>
      </c>
      <c r="C22" s="4">
        <v>1</v>
      </c>
      <c r="D22" s="3" t="s">
        <v>5</v>
      </c>
      <c r="E22" s="2" t="str">
        <f>+VLOOKUP(C22,FRAGILIDAD,2,0)</f>
        <v>Nivel 1 (Muy Frágil)</v>
      </c>
    </row>
    <row r="23" spans="1:5" ht="16.8" x14ac:dyDescent="0.3">
      <c r="A23" s="3" t="s">
        <v>463</v>
      </c>
      <c r="B23" s="4" t="s">
        <v>372</v>
      </c>
      <c r="C23" s="4">
        <v>1</v>
      </c>
      <c r="D23" s="3" t="s">
        <v>5</v>
      </c>
      <c r="E23" s="2" t="str">
        <f>+VLOOKUP(C23,FRAGILIDAD,2,0)</f>
        <v>Nivel 1 (Muy Frágil)</v>
      </c>
    </row>
    <row r="24" spans="1:5" ht="16.8" x14ac:dyDescent="0.3">
      <c r="A24" s="3" t="s">
        <v>462</v>
      </c>
      <c r="B24" s="4" t="s">
        <v>372</v>
      </c>
      <c r="C24" s="4">
        <v>1</v>
      </c>
      <c r="D24" s="3" t="s">
        <v>5</v>
      </c>
      <c r="E24" s="2" t="str">
        <f>+VLOOKUP(C24,FRAGILIDAD,2,0)</f>
        <v>Nivel 1 (Muy Frágil)</v>
      </c>
    </row>
    <row r="25" spans="1:5" ht="16.8" x14ac:dyDescent="0.3">
      <c r="A25" s="3" t="s">
        <v>461</v>
      </c>
      <c r="B25" s="4" t="s">
        <v>372</v>
      </c>
      <c r="C25" s="4">
        <v>1</v>
      </c>
      <c r="D25" s="3" t="s">
        <v>5</v>
      </c>
      <c r="E25" s="2" t="str">
        <f>+VLOOKUP(C25,FRAGILIDAD,2,0)</f>
        <v>Nivel 1 (Muy Frágil)</v>
      </c>
    </row>
    <row r="26" spans="1:5" ht="16.8" x14ac:dyDescent="0.3">
      <c r="A26" s="3" t="s">
        <v>460</v>
      </c>
      <c r="B26" s="4" t="s">
        <v>372</v>
      </c>
      <c r="C26" s="4">
        <v>1</v>
      </c>
      <c r="D26" s="3" t="s">
        <v>5</v>
      </c>
      <c r="E26" s="2" t="str">
        <f>+VLOOKUP(C26,FRAGILIDAD,2,0)</f>
        <v>Nivel 1 (Muy Frágil)</v>
      </c>
    </row>
    <row r="27" spans="1:5" ht="16.8" x14ac:dyDescent="0.3">
      <c r="A27" s="3" t="s">
        <v>459</v>
      </c>
      <c r="B27" s="4" t="s">
        <v>372</v>
      </c>
      <c r="C27" s="4">
        <v>1</v>
      </c>
      <c r="D27" s="3" t="s">
        <v>5</v>
      </c>
      <c r="E27" s="2" t="str">
        <f>+VLOOKUP(C27,FRAGILIDAD,2,0)</f>
        <v>Nivel 1 (Muy Frágil)</v>
      </c>
    </row>
    <row r="28" spans="1:5" ht="16.8" x14ac:dyDescent="0.3">
      <c r="A28" s="3" t="s">
        <v>458</v>
      </c>
      <c r="B28" s="4" t="s">
        <v>372</v>
      </c>
      <c r="C28" s="4">
        <v>1</v>
      </c>
      <c r="D28" s="3" t="s">
        <v>5</v>
      </c>
      <c r="E28" s="2" t="str">
        <f>+VLOOKUP(C28,FRAGILIDAD,2,0)</f>
        <v>Nivel 1 (Muy Frágil)</v>
      </c>
    </row>
    <row r="29" spans="1:5" ht="16.8" x14ac:dyDescent="0.3">
      <c r="A29" s="3" t="s">
        <v>457</v>
      </c>
      <c r="B29" s="4" t="s">
        <v>372</v>
      </c>
      <c r="C29" s="4">
        <v>1</v>
      </c>
      <c r="D29" s="3" t="s">
        <v>5</v>
      </c>
      <c r="E29" s="2" t="str">
        <f>+VLOOKUP(C29,FRAGILIDAD,2,0)</f>
        <v>Nivel 1 (Muy Frágil)</v>
      </c>
    </row>
    <row r="30" spans="1:5" ht="16.8" x14ac:dyDescent="0.3">
      <c r="A30" s="3" t="s">
        <v>456</v>
      </c>
      <c r="B30" s="4" t="s">
        <v>372</v>
      </c>
      <c r="C30" s="4">
        <v>1</v>
      </c>
      <c r="D30" s="3" t="s">
        <v>5</v>
      </c>
      <c r="E30" s="2" t="str">
        <f>+VLOOKUP(C30,FRAGILIDAD,2,0)</f>
        <v>Nivel 1 (Muy Frágil)</v>
      </c>
    </row>
    <row r="31" spans="1:5" ht="16.8" x14ac:dyDescent="0.3">
      <c r="A31" s="3" t="s">
        <v>455</v>
      </c>
      <c r="B31" s="4" t="s">
        <v>372</v>
      </c>
      <c r="C31" s="4">
        <v>1</v>
      </c>
      <c r="D31" s="3" t="s">
        <v>5</v>
      </c>
      <c r="E31" s="2" t="str">
        <f>+VLOOKUP(C31,FRAGILIDAD,2,0)</f>
        <v>Nivel 1 (Muy Frágil)</v>
      </c>
    </row>
    <row r="32" spans="1:5" ht="16.8" x14ac:dyDescent="0.3">
      <c r="A32" s="3" t="s">
        <v>454</v>
      </c>
      <c r="B32" s="4" t="s">
        <v>372</v>
      </c>
      <c r="C32" s="4">
        <v>1</v>
      </c>
      <c r="D32" s="3" t="s">
        <v>5</v>
      </c>
      <c r="E32" s="2" t="str">
        <f>+VLOOKUP(C32,FRAGILIDAD,2,0)</f>
        <v>Nivel 1 (Muy Frágil)</v>
      </c>
    </row>
    <row r="33" spans="1:5" ht="16.8" x14ac:dyDescent="0.3">
      <c r="A33" s="3" t="s">
        <v>453</v>
      </c>
      <c r="B33" s="4" t="s">
        <v>372</v>
      </c>
      <c r="C33" s="4">
        <v>1</v>
      </c>
      <c r="D33" s="3" t="s">
        <v>5</v>
      </c>
      <c r="E33" s="2" t="str">
        <f>+VLOOKUP(C33,FRAGILIDAD,2,0)</f>
        <v>Nivel 1 (Muy Frágil)</v>
      </c>
    </row>
    <row r="34" spans="1:5" ht="16.8" x14ac:dyDescent="0.3">
      <c r="A34" s="3" t="s">
        <v>452</v>
      </c>
      <c r="B34" s="4" t="s">
        <v>372</v>
      </c>
      <c r="C34" s="4">
        <v>1</v>
      </c>
      <c r="D34" s="3" t="s">
        <v>5</v>
      </c>
      <c r="E34" s="2" t="str">
        <f>+VLOOKUP(C34,FRAGILIDAD,2,0)</f>
        <v>Nivel 1 (Muy Frágil)</v>
      </c>
    </row>
    <row r="35" spans="1:5" ht="16.8" x14ac:dyDescent="0.3">
      <c r="A35" s="3" t="s">
        <v>451</v>
      </c>
      <c r="B35" s="4" t="s">
        <v>372</v>
      </c>
      <c r="C35" s="4">
        <v>1</v>
      </c>
      <c r="D35" s="3" t="s">
        <v>5</v>
      </c>
      <c r="E35" s="2" t="str">
        <f>+VLOOKUP(C35,FRAGILIDAD,2,0)</f>
        <v>Nivel 1 (Muy Frágil)</v>
      </c>
    </row>
    <row r="36" spans="1:5" ht="16.8" x14ac:dyDescent="0.3">
      <c r="A36" s="3" t="s">
        <v>450</v>
      </c>
      <c r="B36" s="4" t="s">
        <v>372</v>
      </c>
      <c r="C36" s="4">
        <v>1</v>
      </c>
      <c r="D36" s="3" t="s">
        <v>5</v>
      </c>
      <c r="E36" s="2" t="str">
        <f>+VLOOKUP(C36,FRAGILIDAD,2,0)</f>
        <v>Nivel 1 (Muy Frágil)</v>
      </c>
    </row>
    <row r="37" spans="1:5" ht="16.8" x14ac:dyDescent="0.3">
      <c r="A37" s="3" t="s">
        <v>449</v>
      </c>
      <c r="B37" s="4" t="s">
        <v>372</v>
      </c>
      <c r="C37" s="4">
        <v>1</v>
      </c>
      <c r="D37" s="3" t="s">
        <v>5</v>
      </c>
      <c r="E37" s="2" t="str">
        <f>+VLOOKUP(C37,FRAGILIDAD,2,0)</f>
        <v>Nivel 1 (Muy Frágil)</v>
      </c>
    </row>
    <row r="38" spans="1:5" ht="16.8" x14ac:dyDescent="0.3">
      <c r="A38" s="3" t="s">
        <v>448</v>
      </c>
      <c r="B38" s="4" t="s">
        <v>372</v>
      </c>
      <c r="C38" s="4">
        <v>3</v>
      </c>
      <c r="D38" s="3" t="s">
        <v>3</v>
      </c>
      <c r="E38" s="2" t="str">
        <f>+VLOOKUP(C38,FRAGILIDAD,2,0)</f>
        <v>Nivel 3 (Normal)</v>
      </c>
    </row>
    <row r="39" spans="1:5" ht="16.8" x14ac:dyDescent="0.3">
      <c r="A39" s="3" t="s">
        <v>447</v>
      </c>
      <c r="B39" s="4" t="s">
        <v>372</v>
      </c>
      <c r="C39" s="4">
        <v>3</v>
      </c>
      <c r="D39" s="3" t="s">
        <v>3</v>
      </c>
      <c r="E39" s="2" t="str">
        <f>+VLOOKUP(C39,FRAGILIDAD,2,0)</f>
        <v>Nivel 3 (Normal)</v>
      </c>
    </row>
    <row r="40" spans="1:5" ht="16.8" x14ac:dyDescent="0.3">
      <c r="A40" s="3" t="s">
        <v>446</v>
      </c>
      <c r="B40" s="4" t="s">
        <v>372</v>
      </c>
      <c r="C40" s="4">
        <v>3</v>
      </c>
      <c r="D40" s="3" t="s">
        <v>3</v>
      </c>
      <c r="E40" s="2" t="str">
        <f>+VLOOKUP(C40,FRAGILIDAD,2,0)</f>
        <v>Nivel 3 (Normal)</v>
      </c>
    </row>
    <row r="41" spans="1:5" ht="16.8" x14ac:dyDescent="0.3">
      <c r="A41" s="3" t="s">
        <v>445</v>
      </c>
      <c r="B41" s="4" t="s">
        <v>372</v>
      </c>
      <c r="C41" s="4">
        <v>3</v>
      </c>
      <c r="D41" s="3" t="s">
        <v>0</v>
      </c>
      <c r="E41" s="2" t="str">
        <f>+VLOOKUP(C41,FRAGILIDAD,2,0)</f>
        <v>Nivel 3 (Normal)</v>
      </c>
    </row>
    <row r="42" spans="1:5" ht="16.8" x14ac:dyDescent="0.3">
      <c r="A42" s="3" t="s">
        <v>444</v>
      </c>
      <c r="B42" s="4" t="s">
        <v>372</v>
      </c>
      <c r="C42" s="4">
        <v>3</v>
      </c>
      <c r="D42" s="3" t="s">
        <v>3</v>
      </c>
      <c r="E42" s="2" t="str">
        <f>+VLOOKUP(C42,FRAGILIDAD,2,0)</f>
        <v>Nivel 3 (Normal)</v>
      </c>
    </row>
    <row r="43" spans="1:5" ht="16.8" x14ac:dyDescent="0.3">
      <c r="A43" s="3" t="s">
        <v>443</v>
      </c>
      <c r="B43" s="4" t="s">
        <v>372</v>
      </c>
      <c r="C43" s="4">
        <v>3</v>
      </c>
      <c r="D43" s="3" t="s">
        <v>3</v>
      </c>
      <c r="E43" s="2" t="str">
        <f>+VLOOKUP(C43,FRAGILIDAD,2,0)</f>
        <v>Nivel 3 (Normal)</v>
      </c>
    </row>
    <row r="44" spans="1:5" ht="16.8" x14ac:dyDescent="0.3">
      <c r="A44" s="3" t="s">
        <v>442</v>
      </c>
      <c r="B44" s="4" t="s">
        <v>372</v>
      </c>
      <c r="C44" s="4">
        <v>1</v>
      </c>
      <c r="D44" s="3" t="s">
        <v>5</v>
      </c>
      <c r="E44" s="2" t="str">
        <f>+VLOOKUP(C44,FRAGILIDAD,2,0)</f>
        <v>Nivel 1 (Muy Frágil)</v>
      </c>
    </row>
    <row r="45" spans="1:5" ht="16.8" x14ac:dyDescent="0.3">
      <c r="A45" s="3" t="s">
        <v>441</v>
      </c>
      <c r="B45" s="4" t="s">
        <v>372</v>
      </c>
      <c r="C45" s="4">
        <v>2</v>
      </c>
      <c r="D45" s="3" t="s">
        <v>10</v>
      </c>
      <c r="E45" s="2" t="str">
        <f>+VLOOKUP(C45,FRAGILIDAD,2,0)</f>
        <v>Nivel 2 (Frágil)</v>
      </c>
    </row>
    <row r="46" spans="1:5" ht="16.8" x14ac:dyDescent="0.3">
      <c r="A46" s="3" t="s">
        <v>440</v>
      </c>
      <c r="B46" s="4" t="s">
        <v>372</v>
      </c>
      <c r="C46" s="4">
        <v>1</v>
      </c>
      <c r="D46" s="3" t="s">
        <v>5</v>
      </c>
      <c r="E46" s="2" t="str">
        <f>+VLOOKUP(C46,FRAGILIDAD,2,0)</f>
        <v>Nivel 1 (Muy Frágil)</v>
      </c>
    </row>
    <row r="47" spans="1:5" ht="16.8" x14ac:dyDescent="0.3">
      <c r="A47" s="3" t="s">
        <v>439</v>
      </c>
      <c r="B47" s="4" t="s">
        <v>372</v>
      </c>
      <c r="C47" s="4">
        <v>2</v>
      </c>
      <c r="D47" s="3" t="s">
        <v>10</v>
      </c>
      <c r="E47" s="2" t="str">
        <f>+VLOOKUP(C47,FRAGILIDAD,2,0)</f>
        <v>Nivel 2 (Frágil)</v>
      </c>
    </row>
    <row r="48" spans="1:5" ht="16.8" x14ac:dyDescent="0.3">
      <c r="A48" s="3" t="s">
        <v>438</v>
      </c>
      <c r="B48" s="4" t="s">
        <v>372</v>
      </c>
      <c r="C48" s="4">
        <v>1</v>
      </c>
      <c r="D48" s="3" t="s">
        <v>5</v>
      </c>
      <c r="E48" s="2" t="str">
        <f>+VLOOKUP(C48,FRAGILIDAD,2,0)</f>
        <v>Nivel 1 (Muy Frágil)</v>
      </c>
    </row>
    <row r="49" spans="1:5" ht="16.8" x14ac:dyDescent="0.3">
      <c r="A49" s="3" t="s">
        <v>437</v>
      </c>
      <c r="B49" s="4" t="s">
        <v>372</v>
      </c>
      <c r="C49" s="4">
        <v>1</v>
      </c>
      <c r="D49" s="3" t="s">
        <v>5</v>
      </c>
      <c r="E49" s="2" t="str">
        <f>+VLOOKUP(C49,FRAGILIDAD,2,0)</f>
        <v>Nivel 1 (Muy Frágil)</v>
      </c>
    </row>
    <row r="50" spans="1:5" ht="16.8" x14ac:dyDescent="0.3">
      <c r="A50" s="3" t="s">
        <v>436</v>
      </c>
      <c r="B50" s="4" t="s">
        <v>372</v>
      </c>
      <c r="C50" s="4">
        <v>1</v>
      </c>
      <c r="D50" s="3" t="s">
        <v>5</v>
      </c>
      <c r="E50" s="2" t="str">
        <f>+VLOOKUP(C50,FRAGILIDAD,2,0)</f>
        <v>Nivel 1 (Muy Frágil)</v>
      </c>
    </row>
    <row r="51" spans="1:5" ht="16.8" x14ac:dyDescent="0.3">
      <c r="A51" s="3" t="s">
        <v>435</v>
      </c>
      <c r="B51" s="4" t="s">
        <v>372</v>
      </c>
      <c r="C51" s="4">
        <v>1</v>
      </c>
      <c r="D51" s="3" t="s">
        <v>5</v>
      </c>
      <c r="E51" s="2" t="str">
        <f>+VLOOKUP(C51,FRAGILIDAD,2,0)</f>
        <v>Nivel 1 (Muy Frágil)</v>
      </c>
    </row>
    <row r="52" spans="1:5" ht="16.8" x14ac:dyDescent="0.3">
      <c r="A52" s="3" t="s">
        <v>434</v>
      </c>
      <c r="B52" s="4" t="s">
        <v>372</v>
      </c>
      <c r="C52" s="4">
        <v>1</v>
      </c>
      <c r="D52" s="3" t="s">
        <v>5</v>
      </c>
      <c r="E52" s="2" t="str">
        <f>+VLOOKUP(C52,FRAGILIDAD,2,0)</f>
        <v>Nivel 1 (Muy Frágil)</v>
      </c>
    </row>
    <row r="53" spans="1:5" ht="16.8" x14ac:dyDescent="0.3">
      <c r="A53" s="3" t="s">
        <v>433</v>
      </c>
      <c r="B53" s="4" t="s">
        <v>372</v>
      </c>
      <c r="C53" s="4">
        <v>1</v>
      </c>
      <c r="D53" s="3" t="s">
        <v>5</v>
      </c>
      <c r="E53" s="2" t="str">
        <f>+VLOOKUP(C53,FRAGILIDAD,2,0)</f>
        <v>Nivel 1 (Muy Frágil)</v>
      </c>
    </row>
    <row r="54" spans="1:5" ht="16.8" x14ac:dyDescent="0.3">
      <c r="A54" s="3" t="s">
        <v>432</v>
      </c>
      <c r="B54" s="4" t="s">
        <v>372</v>
      </c>
      <c r="C54" s="4">
        <v>1</v>
      </c>
      <c r="D54" s="3" t="s">
        <v>5</v>
      </c>
      <c r="E54" s="2" t="str">
        <f>+VLOOKUP(C54,FRAGILIDAD,2,0)</f>
        <v>Nivel 1 (Muy Frágil)</v>
      </c>
    </row>
    <row r="55" spans="1:5" ht="16.8" x14ac:dyDescent="0.3">
      <c r="A55" s="3" t="s">
        <v>431</v>
      </c>
      <c r="B55" s="4" t="s">
        <v>372</v>
      </c>
      <c r="C55" s="4">
        <v>1</v>
      </c>
      <c r="D55" s="3" t="s">
        <v>5</v>
      </c>
      <c r="E55" s="2" t="str">
        <f>+VLOOKUP(C55,FRAGILIDAD,2,0)</f>
        <v>Nivel 1 (Muy Frágil)</v>
      </c>
    </row>
    <row r="56" spans="1:5" ht="16.8" x14ac:dyDescent="0.3">
      <c r="A56" s="3" t="s">
        <v>430</v>
      </c>
      <c r="B56" s="4" t="s">
        <v>372</v>
      </c>
      <c r="C56" s="4">
        <v>1</v>
      </c>
      <c r="D56" s="3" t="s">
        <v>5</v>
      </c>
      <c r="E56" s="2" t="str">
        <f>+VLOOKUP(C56,FRAGILIDAD,2,0)</f>
        <v>Nivel 1 (Muy Frágil)</v>
      </c>
    </row>
    <row r="57" spans="1:5" ht="16.8" x14ac:dyDescent="0.3">
      <c r="A57" s="3" t="s">
        <v>429</v>
      </c>
      <c r="B57" s="4" t="s">
        <v>372</v>
      </c>
      <c r="C57" s="4">
        <v>1</v>
      </c>
      <c r="D57" s="3" t="s">
        <v>5</v>
      </c>
      <c r="E57" s="2" t="str">
        <f>+VLOOKUP(C57,FRAGILIDAD,2,0)</f>
        <v>Nivel 1 (Muy Frágil)</v>
      </c>
    </row>
    <row r="58" spans="1:5" ht="16.8" x14ac:dyDescent="0.3">
      <c r="A58" s="3" t="s">
        <v>428</v>
      </c>
      <c r="B58" s="4" t="s">
        <v>372</v>
      </c>
      <c r="C58" s="4">
        <v>1</v>
      </c>
      <c r="D58" s="3" t="s">
        <v>5</v>
      </c>
      <c r="E58" s="2" t="str">
        <f>+VLOOKUP(C58,FRAGILIDAD,2,0)</f>
        <v>Nivel 1 (Muy Frágil)</v>
      </c>
    </row>
    <row r="59" spans="1:5" ht="16.8" x14ac:dyDescent="0.3">
      <c r="A59" s="3" t="s">
        <v>427</v>
      </c>
      <c r="B59" s="4" t="s">
        <v>372</v>
      </c>
      <c r="C59" s="4">
        <v>1</v>
      </c>
      <c r="D59" s="3" t="s">
        <v>5</v>
      </c>
      <c r="E59" s="2" t="str">
        <f>+VLOOKUP(C59,FRAGILIDAD,2,0)</f>
        <v>Nivel 1 (Muy Frágil)</v>
      </c>
    </row>
    <row r="60" spans="1:5" ht="16.8" x14ac:dyDescent="0.3">
      <c r="A60" s="3" t="s">
        <v>426</v>
      </c>
      <c r="B60" s="4" t="s">
        <v>372</v>
      </c>
      <c r="C60" s="4">
        <v>1</v>
      </c>
      <c r="D60" s="3" t="s">
        <v>5</v>
      </c>
      <c r="E60" s="2" t="str">
        <f>+VLOOKUP(C60,FRAGILIDAD,2,0)</f>
        <v>Nivel 1 (Muy Frágil)</v>
      </c>
    </row>
    <row r="61" spans="1:5" ht="16.8" x14ac:dyDescent="0.3">
      <c r="A61" s="3" t="s">
        <v>425</v>
      </c>
      <c r="B61" s="4" t="s">
        <v>372</v>
      </c>
      <c r="C61" s="4">
        <v>1</v>
      </c>
      <c r="D61" s="3" t="s">
        <v>5</v>
      </c>
      <c r="E61" s="2" t="str">
        <f>+VLOOKUP(C61,FRAGILIDAD,2,0)</f>
        <v>Nivel 1 (Muy Frágil)</v>
      </c>
    </row>
    <row r="62" spans="1:5" ht="16.8" x14ac:dyDescent="0.3">
      <c r="A62" s="3" t="s">
        <v>424</v>
      </c>
      <c r="B62" s="4" t="s">
        <v>372</v>
      </c>
      <c r="C62" s="4">
        <v>1</v>
      </c>
      <c r="D62" s="3" t="s">
        <v>5</v>
      </c>
      <c r="E62" s="2" t="str">
        <f>+VLOOKUP(C62,FRAGILIDAD,2,0)</f>
        <v>Nivel 1 (Muy Frágil)</v>
      </c>
    </row>
    <row r="63" spans="1:5" ht="16.8" x14ac:dyDescent="0.3">
      <c r="A63" s="3" t="s">
        <v>423</v>
      </c>
      <c r="B63" s="4" t="s">
        <v>372</v>
      </c>
      <c r="C63" s="4">
        <v>1</v>
      </c>
      <c r="D63" s="3" t="s">
        <v>5</v>
      </c>
      <c r="E63" s="2" t="str">
        <f>+VLOOKUP(C63,FRAGILIDAD,2,0)</f>
        <v>Nivel 1 (Muy Frágil)</v>
      </c>
    </row>
    <row r="64" spans="1:5" ht="16.8" x14ac:dyDescent="0.3">
      <c r="A64" s="3" t="s">
        <v>422</v>
      </c>
      <c r="B64" s="4" t="s">
        <v>372</v>
      </c>
      <c r="C64" s="4">
        <v>1</v>
      </c>
      <c r="D64" s="3" t="s">
        <v>5</v>
      </c>
      <c r="E64" s="2" t="str">
        <f>+VLOOKUP(C64,FRAGILIDAD,2,0)</f>
        <v>Nivel 1 (Muy Frágil)</v>
      </c>
    </row>
    <row r="65" spans="1:5" ht="16.8" x14ac:dyDescent="0.3">
      <c r="A65" s="3" t="s">
        <v>421</v>
      </c>
      <c r="B65" s="4" t="s">
        <v>372</v>
      </c>
      <c r="C65" s="4">
        <v>1</v>
      </c>
      <c r="D65" s="3" t="s">
        <v>5</v>
      </c>
      <c r="E65" s="2" t="str">
        <f>+VLOOKUP(C65,FRAGILIDAD,2,0)</f>
        <v>Nivel 1 (Muy Frágil)</v>
      </c>
    </row>
    <row r="66" spans="1:5" ht="16.8" x14ac:dyDescent="0.3">
      <c r="A66" s="3" t="s">
        <v>420</v>
      </c>
      <c r="B66" s="4" t="s">
        <v>372</v>
      </c>
      <c r="C66" s="4">
        <v>1</v>
      </c>
      <c r="D66" s="3" t="s">
        <v>5</v>
      </c>
      <c r="E66" s="2" t="str">
        <f>+VLOOKUP(C66,FRAGILIDAD,2,0)</f>
        <v>Nivel 1 (Muy Frágil)</v>
      </c>
    </row>
    <row r="67" spans="1:5" ht="16.8" x14ac:dyDescent="0.3">
      <c r="A67" s="3" t="s">
        <v>419</v>
      </c>
      <c r="B67" s="4" t="s">
        <v>372</v>
      </c>
      <c r="C67" s="4">
        <v>1</v>
      </c>
      <c r="D67" s="3" t="s">
        <v>5</v>
      </c>
      <c r="E67" s="2" t="str">
        <f>+VLOOKUP(C67,FRAGILIDAD,2,0)</f>
        <v>Nivel 1 (Muy Frágil)</v>
      </c>
    </row>
    <row r="68" spans="1:5" ht="16.8" x14ac:dyDescent="0.3">
      <c r="A68" s="3" t="s">
        <v>418</v>
      </c>
      <c r="B68" s="4" t="s">
        <v>372</v>
      </c>
      <c r="C68" s="4">
        <v>1</v>
      </c>
      <c r="D68" s="3" t="s">
        <v>5</v>
      </c>
      <c r="E68" s="2" t="str">
        <f>+VLOOKUP(C68,FRAGILIDAD,2,0)</f>
        <v>Nivel 1 (Muy Frágil)</v>
      </c>
    </row>
    <row r="69" spans="1:5" ht="16.8" x14ac:dyDescent="0.3">
      <c r="A69" s="3" t="s">
        <v>417</v>
      </c>
      <c r="B69" s="4" t="s">
        <v>372</v>
      </c>
      <c r="C69" s="4">
        <v>1</v>
      </c>
      <c r="D69" s="3" t="s">
        <v>5</v>
      </c>
      <c r="E69" s="2" t="str">
        <f>+VLOOKUP(C69,FRAGILIDAD,2,0)</f>
        <v>Nivel 1 (Muy Frágil)</v>
      </c>
    </row>
    <row r="70" spans="1:5" ht="16.8" x14ac:dyDescent="0.3">
      <c r="A70" s="3" t="s">
        <v>416</v>
      </c>
      <c r="B70" s="4" t="s">
        <v>372</v>
      </c>
      <c r="C70" s="4">
        <v>1</v>
      </c>
      <c r="D70" s="3" t="s">
        <v>5</v>
      </c>
      <c r="E70" s="2" t="str">
        <f>+VLOOKUP(C70,FRAGILIDAD,2,0)</f>
        <v>Nivel 1 (Muy Frágil)</v>
      </c>
    </row>
    <row r="71" spans="1:5" ht="16.8" x14ac:dyDescent="0.3">
      <c r="A71" s="3" t="s">
        <v>415</v>
      </c>
      <c r="B71" s="4" t="s">
        <v>372</v>
      </c>
      <c r="C71" s="4">
        <v>3</v>
      </c>
      <c r="D71" s="3" t="s">
        <v>3</v>
      </c>
      <c r="E71" s="2" t="str">
        <f>+VLOOKUP(C71,FRAGILIDAD,2,0)</f>
        <v>Nivel 3 (Normal)</v>
      </c>
    </row>
    <row r="72" spans="1:5" ht="16.8" x14ac:dyDescent="0.3">
      <c r="A72" s="3" t="s">
        <v>414</v>
      </c>
      <c r="B72" s="4" t="s">
        <v>372</v>
      </c>
      <c r="C72" s="4">
        <v>1</v>
      </c>
      <c r="D72" s="3" t="s">
        <v>5</v>
      </c>
      <c r="E72" s="2" t="str">
        <f>+VLOOKUP(C72,FRAGILIDAD,2,0)</f>
        <v>Nivel 1 (Muy Frágil)</v>
      </c>
    </row>
    <row r="73" spans="1:5" ht="16.8" x14ac:dyDescent="0.3">
      <c r="A73" s="3" t="s">
        <v>413</v>
      </c>
      <c r="B73" s="4" t="s">
        <v>372</v>
      </c>
      <c r="C73" s="4">
        <v>1</v>
      </c>
      <c r="D73" s="3" t="s">
        <v>5</v>
      </c>
      <c r="E73" s="2" t="str">
        <f>+VLOOKUP(C73,FRAGILIDAD,2,0)</f>
        <v>Nivel 1 (Muy Frágil)</v>
      </c>
    </row>
    <row r="74" spans="1:5" ht="16.8" x14ac:dyDescent="0.3">
      <c r="A74" s="3" t="s">
        <v>412</v>
      </c>
      <c r="B74" s="4" t="s">
        <v>372</v>
      </c>
      <c r="C74" s="4">
        <v>1</v>
      </c>
      <c r="D74" s="3" t="s">
        <v>5</v>
      </c>
      <c r="E74" s="2" t="str">
        <f>+VLOOKUP(C74,FRAGILIDAD,2,0)</f>
        <v>Nivel 1 (Muy Frágil)</v>
      </c>
    </row>
    <row r="75" spans="1:5" ht="16.8" x14ac:dyDescent="0.3">
      <c r="A75" s="3" t="s">
        <v>411</v>
      </c>
      <c r="B75" s="4" t="s">
        <v>372</v>
      </c>
      <c r="C75" s="4">
        <v>3</v>
      </c>
      <c r="D75" s="3" t="s">
        <v>3</v>
      </c>
      <c r="E75" s="2" t="str">
        <f>+VLOOKUP(C75,FRAGILIDAD,2,0)</f>
        <v>Nivel 3 (Normal)</v>
      </c>
    </row>
    <row r="76" spans="1:5" ht="16.8" x14ac:dyDescent="0.3">
      <c r="A76" s="3" t="s">
        <v>410</v>
      </c>
      <c r="B76" s="4" t="s">
        <v>372</v>
      </c>
      <c r="C76" s="4">
        <v>1</v>
      </c>
      <c r="D76" s="3" t="s">
        <v>5</v>
      </c>
      <c r="E76" s="2" t="str">
        <f>+VLOOKUP(C76,FRAGILIDAD,2,0)</f>
        <v>Nivel 1 (Muy Frágil)</v>
      </c>
    </row>
    <row r="77" spans="1:5" ht="16.8" x14ac:dyDescent="0.3">
      <c r="A77" s="3" t="s">
        <v>409</v>
      </c>
      <c r="B77" s="4" t="s">
        <v>372</v>
      </c>
      <c r="C77" s="4">
        <v>1</v>
      </c>
      <c r="D77" s="3" t="s">
        <v>5</v>
      </c>
      <c r="E77" s="2" t="str">
        <f>+VLOOKUP(C77,FRAGILIDAD,2,0)</f>
        <v>Nivel 1 (Muy Frágil)</v>
      </c>
    </row>
    <row r="78" spans="1:5" ht="16.8" x14ac:dyDescent="0.3">
      <c r="A78" s="3" t="s">
        <v>408</v>
      </c>
      <c r="B78" s="4" t="s">
        <v>372</v>
      </c>
      <c r="C78" s="4">
        <v>1</v>
      </c>
      <c r="D78" s="3" t="s">
        <v>5</v>
      </c>
      <c r="E78" s="2" t="str">
        <f>+VLOOKUP(C78,FRAGILIDAD,2,0)</f>
        <v>Nivel 1 (Muy Frágil)</v>
      </c>
    </row>
    <row r="79" spans="1:5" ht="16.8" x14ac:dyDescent="0.3">
      <c r="A79" s="3" t="s">
        <v>407</v>
      </c>
      <c r="B79" s="4" t="s">
        <v>372</v>
      </c>
      <c r="C79" s="4">
        <v>3</v>
      </c>
      <c r="D79" s="3" t="s">
        <v>3</v>
      </c>
      <c r="E79" s="2" t="str">
        <f>+VLOOKUP(C79,FRAGILIDAD,2,0)</f>
        <v>Nivel 3 (Normal)</v>
      </c>
    </row>
    <row r="80" spans="1:5" ht="16.8" x14ac:dyDescent="0.3">
      <c r="A80" s="3" t="s">
        <v>406</v>
      </c>
      <c r="B80" s="4" t="s">
        <v>372</v>
      </c>
      <c r="C80" s="4">
        <v>3</v>
      </c>
      <c r="D80" s="3" t="s">
        <v>3</v>
      </c>
      <c r="E80" s="2" t="str">
        <f>+VLOOKUP(C80,FRAGILIDAD,2,0)</f>
        <v>Nivel 3 (Normal)</v>
      </c>
    </row>
    <row r="81" spans="1:5" ht="16.8" x14ac:dyDescent="0.3">
      <c r="A81" s="3" t="s">
        <v>405</v>
      </c>
      <c r="B81" s="4" t="s">
        <v>372</v>
      </c>
      <c r="C81" s="4">
        <v>3</v>
      </c>
      <c r="D81" s="3" t="s">
        <v>3</v>
      </c>
      <c r="E81" s="2" t="str">
        <f>+VLOOKUP(C81,FRAGILIDAD,2,0)</f>
        <v>Nivel 3 (Normal)</v>
      </c>
    </row>
    <row r="82" spans="1:5" ht="16.8" x14ac:dyDescent="0.3">
      <c r="A82" s="3" t="s">
        <v>404</v>
      </c>
      <c r="B82" s="4" t="s">
        <v>372</v>
      </c>
      <c r="C82" s="4">
        <v>3</v>
      </c>
      <c r="D82" s="3" t="s">
        <v>3</v>
      </c>
      <c r="E82" s="2" t="str">
        <f>+VLOOKUP(C82,FRAGILIDAD,2,0)</f>
        <v>Nivel 3 (Normal)</v>
      </c>
    </row>
    <row r="83" spans="1:5" ht="16.8" x14ac:dyDescent="0.3">
      <c r="A83" s="3" t="s">
        <v>403</v>
      </c>
      <c r="B83" s="4" t="s">
        <v>372</v>
      </c>
      <c r="C83" s="4">
        <v>1</v>
      </c>
      <c r="D83" s="3" t="s">
        <v>5</v>
      </c>
      <c r="E83" s="2" t="str">
        <f>+VLOOKUP(C83,FRAGILIDAD,2,0)</f>
        <v>Nivel 1 (Muy Frágil)</v>
      </c>
    </row>
    <row r="84" spans="1:5" ht="16.8" x14ac:dyDescent="0.3">
      <c r="A84" s="3" t="s">
        <v>402</v>
      </c>
      <c r="B84" s="4" t="s">
        <v>372</v>
      </c>
      <c r="C84" s="4">
        <v>1</v>
      </c>
      <c r="D84" s="3" t="s">
        <v>5</v>
      </c>
      <c r="E84" s="2" t="str">
        <f>+VLOOKUP(C84,FRAGILIDAD,2,0)</f>
        <v>Nivel 1 (Muy Frágil)</v>
      </c>
    </row>
    <row r="85" spans="1:5" ht="16.8" x14ac:dyDescent="0.3">
      <c r="A85" s="3" t="s">
        <v>401</v>
      </c>
      <c r="B85" s="4" t="s">
        <v>372</v>
      </c>
      <c r="C85" s="4">
        <v>1</v>
      </c>
      <c r="D85" s="3" t="s">
        <v>5</v>
      </c>
      <c r="E85" s="2" t="str">
        <f>+VLOOKUP(C85,FRAGILIDAD,2,0)</f>
        <v>Nivel 1 (Muy Frágil)</v>
      </c>
    </row>
    <row r="86" spans="1:5" ht="16.8" x14ac:dyDescent="0.3">
      <c r="A86" s="3" t="s">
        <v>400</v>
      </c>
      <c r="B86" s="4" t="s">
        <v>372</v>
      </c>
      <c r="C86" s="4">
        <v>1</v>
      </c>
      <c r="D86" s="3" t="s">
        <v>5</v>
      </c>
      <c r="E86" s="2" t="str">
        <f>+VLOOKUP(C86,FRAGILIDAD,2,0)</f>
        <v>Nivel 1 (Muy Frágil)</v>
      </c>
    </row>
    <row r="87" spans="1:5" ht="16.8" x14ac:dyDescent="0.3">
      <c r="A87" s="3" t="s">
        <v>399</v>
      </c>
      <c r="B87" s="4" t="s">
        <v>372</v>
      </c>
      <c r="C87" s="4">
        <v>1</v>
      </c>
      <c r="D87" s="3" t="s">
        <v>5</v>
      </c>
      <c r="E87" s="2" t="str">
        <f>+VLOOKUP(C87,FRAGILIDAD,2,0)</f>
        <v>Nivel 1 (Muy Frágil)</v>
      </c>
    </row>
    <row r="88" spans="1:5" ht="16.8" x14ac:dyDescent="0.3">
      <c r="A88" s="3" t="s">
        <v>398</v>
      </c>
      <c r="B88" s="4" t="s">
        <v>372</v>
      </c>
      <c r="C88" s="4">
        <v>1</v>
      </c>
      <c r="D88" s="3" t="s">
        <v>5</v>
      </c>
      <c r="E88" s="2" t="str">
        <f>+VLOOKUP(C88,FRAGILIDAD,2,0)</f>
        <v>Nivel 1 (Muy Frágil)</v>
      </c>
    </row>
    <row r="89" spans="1:5" ht="16.8" x14ac:dyDescent="0.3">
      <c r="A89" s="3" t="s">
        <v>397</v>
      </c>
      <c r="B89" s="4" t="s">
        <v>372</v>
      </c>
      <c r="C89" s="4">
        <v>3</v>
      </c>
      <c r="D89" s="3" t="s">
        <v>3</v>
      </c>
      <c r="E89" s="2" t="str">
        <f>+VLOOKUP(C89,FRAGILIDAD,2,0)</f>
        <v>Nivel 3 (Normal)</v>
      </c>
    </row>
    <row r="90" spans="1:5" ht="16.8" x14ac:dyDescent="0.3">
      <c r="A90" s="3" t="s">
        <v>396</v>
      </c>
      <c r="B90" s="4" t="s">
        <v>372</v>
      </c>
      <c r="C90" s="4">
        <v>3</v>
      </c>
      <c r="D90" s="3" t="s">
        <v>3</v>
      </c>
      <c r="E90" s="2" t="str">
        <f>+VLOOKUP(C90,FRAGILIDAD,2,0)</f>
        <v>Nivel 3 (Normal)</v>
      </c>
    </row>
    <row r="91" spans="1:5" ht="16.8" x14ac:dyDescent="0.3">
      <c r="A91" s="3" t="s">
        <v>395</v>
      </c>
      <c r="B91" s="4" t="s">
        <v>372</v>
      </c>
      <c r="C91" s="4">
        <v>3</v>
      </c>
      <c r="D91" s="3" t="s">
        <v>3</v>
      </c>
      <c r="E91" s="2" t="str">
        <f>+VLOOKUP(C91,FRAGILIDAD,2,0)</f>
        <v>Nivel 3 (Normal)</v>
      </c>
    </row>
    <row r="92" spans="1:5" ht="16.8" x14ac:dyDescent="0.3">
      <c r="A92" s="3" t="s">
        <v>394</v>
      </c>
      <c r="B92" s="4" t="s">
        <v>372</v>
      </c>
      <c r="C92" s="4">
        <v>3</v>
      </c>
      <c r="D92" s="3" t="s">
        <v>3</v>
      </c>
      <c r="E92" s="2" t="str">
        <f>+VLOOKUP(C92,FRAGILIDAD,2,0)</f>
        <v>Nivel 3 (Normal)</v>
      </c>
    </row>
    <row r="93" spans="1:5" ht="16.8" x14ac:dyDescent="0.3">
      <c r="A93" s="3" t="s">
        <v>393</v>
      </c>
      <c r="B93" s="4" t="s">
        <v>372</v>
      </c>
      <c r="C93" s="4">
        <v>1</v>
      </c>
      <c r="D93" s="3" t="s">
        <v>5</v>
      </c>
      <c r="E93" s="2" t="str">
        <f>+VLOOKUP(C93,FRAGILIDAD,2,0)</f>
        <v>Nivel 1 (Muy Frágil)</v>
      </c>
    </row>
    <row r="94" spans="1:5" ht="16.8" x14ac:dyDescent="0.3">
      <c r="A94" s="3" t="s">
        <v>392</v>
      </c>
      <c r="B94" s="4" t="s">
        <v>372</v>
      </c>
      <c r="C94" s="4">
        <v>1</v>
      </c>
      <c r="D94" s="3" t="s">
        <v>5</v>
      </c>
      <c r="E94" s="2" t="str">
        <f>+VLOOKUP(C94,FRAGILIDAD,2,0)</f>
        <v>Nivel 1 (Muy Frágil)</v>
      </c>
    </row>
    <row r="95" spans="1:5" ht="16.8" x14ac:dyDescent="0.3">
      <c r="A95" s="3" t="s">
        <v>391</v>
      </c>
      <c r="B95" s="4" t="s">
        <v>372</v>
      </c>
      <c r="C95" s="4">
        <v>2</v>
      </c>
      <c r="D95" s="3" t="s">
        <v>10</v>
      </c>
      <c r="E95" s="2" t="str">
        <f>+VLOOKUP(C95,FRAGILIDAD,2,0)</f>
        <v>Nivel 2 (Frágil)</v>
      </c>
    </row>
    <row r="96" spans="1:5" ht="16.8" x14ac:dyDescent="0.3">
      <c r="A96" s="3" t="s">
        <v>390</v>
      </c>
      <c r="B96" s="4" t="s">
        <v>372</v>
      </c>
      <c r="C96" s="4">
        <v>2</v>
      </c>
      <c r="D96" s="3" t="s">
        <v>10</v>
      </c>
      <c r="E96" s="2" t="str">
        <f>+VLOOKUP(C96,FRAGILIDAD,2,0)</f>
        <v>Nivel 2 (Frágil)</v>
      </c>
    </row>
    <row r="97" spans="1:5" ht="16.8" x14ac:dyDescent="0.3">
      <c r="A97" s="3" t="s">
        <v>389</v>
      </c>
      <c r="B97" s="4" t="s">
        <v>372</v>
      </c>
      <c r="C97" s="4">
        <v>2</v>
      </c>
      <c r="D97" s="3" t="s">
        <v>10</v>
      </c>
      <c r="E97" s="2" t="str">
        <f>+VLOOKUP(C97,FRAGILIDAD,2,0)</f>
        <v>Nivel 2 (Frágil)</v>
      </c>
    </row>
    <row r="98" spans="1:5" ht="16.8" x14ac:dyDescent="0.3">
      <c r="A98" s="3" t="s">
        <v>388</v>
      </c>
      <c r="B98" s="4" t="s">
        <v>372</v>
      </c>
      <c r="C98" s="4">
        <v>2</v>
      </c>
      <c r="D98" s="3" t="s">
        <v>10</v>
      </c>
      <c r="E98" s="2" t="str">
        <f>+VLOOKUP(C98,FRAGILIDAD,2,0)</f>
        <v>Nivel 2 (Frágil)</v>
      </c>
    </row>
    <row r="99" spans="1:5" ht="16.8" x14ac:dyDescent="0.3">
      <c r="A99" s="3" t="s">
        <v>387</v>
      </c>
      <c r="B99" s="4" t="s">
        <v>372</v>
      </c>
      <c r="C99" s="4">
        <v>3</v>
      </c>
      <c r="D99" s="3" t="s">
        <v>3</v>
      </c>
      <c r="E99" s="2" t="str">
        <f>+VLOOKUP(C99,FRAGILIDAD,2,0)</f>
        <v>Nivel 3 (Normal)</v>
      </c>
    </row>
    <row r="100" spans="1:5" ht="16.8" x14ac:dyDescent="0.3">
      <c r="A100" s="3" t="s">
        <v>386</v>
      </c>
      <c r="B100" s="4" t="s">
        <v>372</v>
      </c>
      <c r="C100" s="4">
        <v>2</v>
      </c>
      <c r="D100" s="3" t="s">
        <v>10</v>
      </c>
      <c r="E100" s="2" t="str">
        <f>+VLOOKUP(C100,FRAGILIDAD,2,0)</f>
        <v>Nivel 2 (Frágil)</v>
      </c>
    </row>
    <row r="101" spans="1:5" ht="16.8" x14ac:dyDescent="0.3">
      <c r="A101" s="3" t="s">
        <v>385</v>
      </c>
      <c r="B101" s="4" t="s">
        <v>372</v>
      </c>
      <c r="C101" s="4">
        <v>2</v>
      </c>
      <c r="D101" s="3" t="s">
        <v>10</v>
      </c>
      <c r="E101" s="2" t="str">
        <f>+VLOOKUP(C101,FRAGILIDAD,2,0)</f>
        <v>Nivel 2 (Frágil)</v>
      </c>
    </row>
    <row r="102" spans="1:5" ht="16.8" x14ac:dyDescent="0.3">
      <c r="A102" s="3" t="s">
        <v>384</v>
      </c>
      <c r="B102" s="4" t="s">
        <v>372</v>
      </c>
      <c r="C102" s="4">
        <v>2</v>
      </c>
      <c r="D102" s="3" t="s">
        <v>10</v>
      </c>
      <c r="E102" s="2" t="str">
        <f>+VLOOKUP(C102,FRAGILIDAD,2,0)</f>
        <v>Nivel 2 (Frágil)</v>
      </c>
    </row>
    <row r="103" spans="1:5" ht="16.8" x14ac:dyDescent="0.3">
      <c r="A103" s="3" t="s">
        <v>383</v>
      </c>
      <c r="B103" s="4" t="s">
        <v>372</v>
      </c>
      <c r="C103" s="4">
        <v>1</v>
      </c>
      <c r="D103" s="3" t="s">
        <v>5</v>
      </c>
      <c r="E103" s="2" t="str">
        <f>+VLOOKUP(C103,FRAGILIDAD,2,0)</f>
        <v>Nivel 1 (Muy Frágil)</v>
      </c>
    </row>
    <row r="104" spans="1:5" ht="16.8" x14ac:dyDescent="0.3">
      <c r="A104" s="3" t="s">
        <v>382</v>
      </c>
      <c r="B104" s="4" t="s">
        <v>372</v>
      </c>
      <c r="C104" s="4">
        <v>1</v>
      </c>
      <c r="D104" s="3" t="s">
        <v>5</v>
      </c>
      <c r="E104" s="2" t="str">
        <f>+VLOOKUP(C104,FRAGILIDAD,2,0)</f>
        <v>Nivel 1 (Muy Frágil)</v>
      </c>
    </row>
    <row r="105" spans="1:5" ht="16.8" x14ac:dyDescent="0.3">
      <c r="A105" s="3" t="s">
        <v>381</v>
      </c>
      <c r="B105" s="4" t="s">
        <v>372</v>
      </c>
      <c r="C105" s="4">
        <v>1</v>
      </c>
      <c r="D105" s="3" t="s">
        <v>5</v>
      </c>
      <c r="E105" s="2" t="str">
        <f>+VLOOKUP(C105,FRAGILIDAD,2,0)</f>
        <v>Nivel 1 (Muy Frágil)</v>
      </c>
    </row>
    <row r="106" spans="1:5" ht="16.8" x14ac:dyDescent="0.3">
      <c r="A106" s="3" t="s">
        <v>380</v>
      </c>
      <c r="B106" s="4" t="s">
        <v>372</v>
      </c>
      <c r="C106" s="4">
        <v>1</v>
      </c>
      <c r="D106" s="3" t="s">
        <v>5</v>
      </c>
      <c r="E106" s="2" t="str">
        <f>+VLOOKUP(C106,FRAGILIDAD,2,0)</f>
        <v>Nivel 1 (Muy Frágil)</v>
      </c>
    </row>
    <row r="107" spans="1:5" ht="16.8" x14ac:dyDescent="0.3">
      <c r="A107" s="3" t="s">
        <v>379</v>
      </c>
      <c r="B107" s="4" t="s">
        <v>372</v>
      </c>
      <c r="C107" s="4">
        <v>1</v>
      </c>
      <c r="D107" s="3" t="s">
        <v>5</v>
      </c>
      <c r="E107" s="2" t="str">
        <f>+VLOOKUP(C107,FRAGILIDAD,2,0)</f>
        <v>Nivel 1 (Muy Frágil)</v>
      </c>
    </row>
    <row r="108" spans="1:5" ht="16.8" x14ac:dyDescent="0.3">
      <c r="A108" s="3" t="s">
        <v>378</v>
      </c>
      <c r="B108" s="4" t="s">
        <v>372</v>
      </c>
      <c r="C108" s="4">
        <v>1</v>
      </c>
      <c r="D108" s="3" t="s">
        <v>5</v>
      </c>
      <c r="E108" s="2" t="str">
        <f>+VLOOKUP(C108,FRAGILIDAD,2,0)</f>
        <v>Nivel 1 (Muy Frágil)</v>
      </c>
    </row>
    <row r="109" spans="1:5" ht="16.8" x14ac:dyDescent="0.3">
      <c r="A109" s="3" t="s">
        <v>377</v>
      </c>
      <c r="B109" s="4" t="s">
        <v>372</v>
      </c>
      <c r="C109" s="4">
        <v>1</v>
      </c>
      <c r="D109" s="3" t="s">
        <v>5</v>
      </c>
      <c r="E109" s="2" t="str">
        <f>+VLOOKUP(C109,FRAGILIDAD,2,0)</f>
        <v>Nivel 1 (Muy Frágil)</v>
      </c>
    </row>
    <row r="110" spans="1:5" ht="16.8" x14ac:dyDescent="0.3">
      <c r="A110" s="3" t="s">
        <v>376</v>
      </c>
      <c r="B110" s="4" t="s">
        <v>372</v>
      </c>
      <c r="C110" s="4">
        <v>1</v>
      </c>
      <c r="D110" s="3" t="s">
        <v>5</v>
      </c>
      <c r="E110" s="2" t="str">
        <f>+VLOOKUP(C110,FRAGILIDAD,2,0)</f>
        <v>Nivel 1 (Muy Frágil)</v>
      </c>
    </row>
    <row r="111" spans="1:5" ht="16.8" x14ac:dyDescent="0.3">
      <c r="A111" s="3" t="s">
        <v>375</v>
      </c>
      <c r="B111" s="4" t="s">
        <v>372</v>
      </c>
      <c r="C111" s="4">
        <v>1</v>
      </c>
      <c r="D111" s="3" t="s">
        <v>5</v>
      </c>
      <c r="E111" s="2" t="str">
        <f>+VLOOKUP(C111,FRAGILIDAD,2,0)</f>
        <v>Nivel 1 (Muy Frágil)</v>
      </c>
    </row>
    <row r="112" spans="1:5" ht="16.8" x14ac:dyDescent="0.3">
      <c r="A112" s="3" t="s">
        <v>374</v>
      </c>
      <c r="B112" s="4" t="s">
        <v>372</v>
      </c>
      <c r="C112" s="4">
        <v>1</v>
      </c>
      <c r="D112" s="3" t="s">
        <v>5</v>
      </c>
      <c r="E112" s="2" t="str">
        <f>+VLOOKUP(C112,FRAGILIDAD,2,0)</f>
        <v>Nivel 1 (Muy Frágil)</v>
      </c>
    </row>
    <row r="113" spans="1:5" ht="16.8" x14ac:dyDescent="0.3">
      <c r="A113" s="3" t="s">
        <v>373</v>
      </c>
      <c r="B113" s="4" t="s">
        <v>372</v>
      </c>
      <c r="C113" s="4">
        <v>1</v>
      </c>
      <c r="D113" s="3" t="s">
        <v>5</v>
      </c>
      <c r="E113" s="2" t="str">
        <f>+VLOOKUP(C113,FRAGILIDAD,2,0)</f>
        <v>Nivel 1 (Muy Frágil)</v>
      </c>
    </row>
    <row r="114" spans="1:5" ht="16.8" x14ac:dyDescent="0.3">
      <c r="A114" s="3" t="s">
        <v>371</v>
      </c>
      <c r="B114" s="4" t="s">
        <v>84</v>
      </c>
      <c r="C114" s="4">
        <v>5</v>
      </c>
      <c r="D114" s="3" t="s">
        <v>86</v>
      </c>
      <c r="E114" s="2" t="str">
        <f>+VLOOKUP(C114,FRAGILIDAD,2,0)</f>
        <v>Nivel 5 (Ultra Resistente)</v>
      </c>
    </row>
    <row r="115" spans="1:5" ht="16.8" x14ac:dyDescent="0.3">
      <c r="A115" s="3" t="s">
        <v>370</v>
      </c>
      <c r="B115" s="4" t="s">
        <v>84</v>
      </c>
      <c r="C115" s="4">
        <v>5</v>
      </c>
      <c r="D115" s="3" t="s">
        <v>86</v>
      </c>
      <c r="E115" s="2" t="str">
        <f>+VLOOKUP(C115,FRAGILIDAD,2,0)</f>
        <v>Nivel 5 (Ultra Resistente)</v>
      </c>
    </row>
    <row r="116" spans="1:5" ht="16.8" x14ac:dyDescent="0.3">
      <c r="A116" s="3" t="s">
        <v>369</v>
      </c>
      <c r="B116" s="4" t="s">
        <v>84</v>
      </c>
      <c r="C116" s="4">
        <v>3</v>
      </c>
      <c r="D116" s="3" t="s">
        <v>0</v>
      </c>
      <c r="E116" s="2" t="str">
        <f>+VLOOKUP(C116,FRAGILIDAD,2,0)</f>
        <v>Nivel 3 (Normal)</v>
      </c>
    </row>
    <row r="117" spans="1:5" ht="16.8" x14ac:dyDescent="0.3">
      <c r="A117" s="3" t="s">
        <v>368</v>
      </c>
      <c r="B117" s="4" t="s">
        <v>84</v>
      </c>
      <c r="C117" s="4">
        <v>5</v>
      </c>
      <c r="D117" s="3" t="s">
        <v>86</v>
      </c>
      <c r="E117" s="2" t="str">
        <f>+VLOOKUP(C117,FRAGILIDAD,2,0)</f>
        <v>Nivel 5 (Ultra Resistente)</v>
      </c>
    </row>
    <row r="118" spans="1:5" ht="16.8" x14ac:dyDescent="0.3">
      <c r="A118" s="3" t="s">
        <v>367</v>
      </c>
      <c r="B118" s="4" t="s">
        <v>84</v>
      </c>
      <c r="C118" s="4">
        <v>5</v>
      </c>
      <c r="D118" s="3" t="s">
        <v>86</v>
      </c>
      <c r="E118" s="2" t="str">
        <f>+VLOOKUP(C118,FRAGILIDAD,2,0)</f>
        <v>Nivel 5 (Ultra Resistente)</v>
      </c>
    </row>
    <row r="119" spans="1:5" ht="16.8" x14ac:dyDescent="0.3">
      <c r="A119" s="3" t="s">
        <v>366</v>
      </c>
      <c r="B119" s="4" t="s">
        <v>84</v>
      </c>
      <c r="C119" s="4">
        <v>5</v>
      </c>
      <c r="D119" s="3" t="s">
        <v>86</v>
      </c>
      <c r="E119" s="2" t="str">
        <f>+VLOOKUP(C119,FRAGILIDAD,2,0)</f>
        <v>Nivel 5 (Ultra Resistente)</v>
      </c>
    </row>
    <row r="120" spans="1:5" ht="16.8" x14ac:dyDescent="0.3">
      <c r="A120" s="3" t="s">
        <v>365</v>
      </c>
      <c r="B120" s="4" t="s">
        <v>84</v>
      </c>
      <c r="C120" s="4">
        <v>5</v>
      </c>
      <c r="D120" s="3" t="s">
        <v>86</v>
      </c>
      <c r="E120" s="2" t="str">
        <f>+VLOOKUP(C120,FRAGILIDAD,2,0)</f>
        <v>Nivel 5 (Ultra Resistente)</v>
      </c>
    </row>
    <row r="121" spans="1:5" ht="16.8" x14ac:dyDescent="0.3">
      <c r="A121" s="3" t="s">
        <v>364</v>
      </c>
      <c r="B121" s="4" t="s">
        <v>84</v>
      </c>
      <c r="C121" s="4">
        <v>4</v>
      </c>
      <c r="D121" s="3" t="s">
        <v>83</v>
      </c>
      <c r="E121" s="2" t="str">
        <f>+VLOOKUP(C121,FRAGILIDAD,2,0)</f>
        <v>Nivel 4 (Muy Resistente)</v>
      </c>
    </row>
    <row r="122" spans="1:5" ht="16.8" x14ac:dyDescent="0.3">
      <c r="A122" s="3" t="s">
        <v>363</v>
      </c>
      <c r="B122" s="4" t="s">
        <v>84</v>
      </c>
      <c r="C122" s="4">
        <v>5</v>
      </c>
      <c r="D122" s="3" t="s">
        <v>86</v>
      </c>
      <c r="E122" s="2" t="str">
        <f>+VLOOKUP(C122,FRAGILIDAD,2,0)</f>
        <v>Nivel 5 (Ultra Resistente)</v>
      </c>
    </row>
    <row r="123" spans="1:5" ht="16.8" x14ac:dyDescent="0.3">
      <c r="A123" s="3" t="s">
        <v>362</v>
      </c>
      <c r="B123" s="4" t="s">
        <v>84</v>
      </c>
      <c r="C123" s="4">
        <v>5</v>
      </c>
      <c r="D123" s="3" t="s">
        <v>86</v>
      </c>
      <c r="E123" s="2" t="str">
        <f>+VLOOKUP(C123,FRAGILIDAD,2,0)</f>
        <v>Nivel 5 (Ultra Resistente)</v>
      </c>
    </row>
    <row r="124" spans="1:5" ht="16.8" x14ac:dyDescent="0.3">
      <c r="A124" s="3" t="s">
        <v>361</v>
      </c>
      <c r="B124" s="4" t="s">
        <v>84</v>
      </c>
      <c r="C124" s="4">
        <v>3</v>
      </c>
      <c r="D124" s="3" t="s">
        <v>0</v>
      </c>
      <c r="E124" s="2" t="str">
        <f>+VLOOKUP(C124,FRAGILIDAD,2,0)</f>
        <v>Nivel 3 (Normal)</v>
      </c>
    </row>
    <row r="125" spans="1:5" ht="16.8" x14ac:dyDescent="0.3">
      <c r="A125" s="3" t="s">
        <v>360</v>
      </c>
      <c r="B125" s="4" t="s">
        <v>84</v>
      </c>
      <c r="C125" s="4">
        <v>3</v>
      </c>
      <c r="D125" s="3" t="s">
        <v>0</v>
      </c>
      <c r="E125" s="2" t="str">
        <f>+VLOOKUP(C125,FRAGILIDAD,2,0)</f>
        <v>Nivel 3 (Normal)</v>
      </c>
    </row>
    <row r="126" spans="1:5" ht="16.8" x14ac:dyDescent="0.3">
      <c r="A126" s="3" t="s">
        <v>359</v>
      </c>
      <c r="B126" s="4" t="s">
        <v>84</v>
      </c>
      <c r="C126" s="4">
        <v>5</v>
      </c>
      <c r="D126" s="3" t="s">
        <v>86</v>
      </c>
      <c r="E126" s="2" t="str">
        <f>+VLOOKUP(C126,FRAGILIDAD,2,0)</f>
        <v>Nivel 5 (Ultra Resistente)</v>
      </c>
    </row>
    <row r="127" spans="1:5" ht="16.8" x14ac:dyDescent="0.3">
      <c r="A127" s="3" t="s">
        <v>358</v>
      </c>
      <c r="B127" s="4" t="s">
        <v>84</v>
      </c>
      <c r="C127" s="4">
        <v>4</v>
      </c>
      <c r="D127" s="3" t="s">
        <v>83</v>
      </c>
      <c r="E127" s="2" t="str">
        <f>+VLOOKUP(C127,FRAGILIDAD,2,0)</f>
        <v>Nivel 4 (Muy Resistente)</v>
      </c>
    </row>
    <row r="128" spans="1:5" ht="16.8" x14ac:dyDescent="0.3">
      <c r="A128" s="3" t="s">
        <v>357</v>
      </c>
      <c r="B128" s="4" t="s">
        <v>84</v>
      </c>
      <c r="C128" s="4">
        <v>4</v>
      </c>
      <c r="D128" s="3" t="s">
        <v>83</v>
      </c>
      <c r="E128" s="2" t="str">
        <f>+VLOOKUP(C128,FRAGILIDAD,2,0)</f>
        <v>Nivel 4 (Muy Resistente)</v>
      </c>
    </row>
    <row r="129" spans="1:5" ht="16.8" x14ac:dyDescent="0.3">
      <c r="A129" s="3" t="s">
        <v>356</v>
      </c>
      <c r="B129" s="4" t="s">
        <v>84</v>
      </c>
      <c r="C129" s="4">
        <v>3</v>
      </c>
      <c r="D129" s="3" t="s">
        <v>3</v>
      </c>
      <c r="E129" s="2" t="str">
        <f>+VLOOKUP(C129,FRAGILIDAD,2,0)</f>
        <v>Nivel 3 (Normal)</v>
      </c>
    </row>
    <row r="130" spans="1:5" ht="16.8" x14ac:dyDescent="0.3">
      <c r="A130" s="3" t="s">
        <v>355</v>
      </c>
      <c r="B130" s="4" t="s">
        <v>84</v>
      </c>
      <c r="C130" s="4">
        <v>3</v>
      </c>
      <c r="D130" s="3" t="s">
        <v>3</v>
      </c>
      <c r="E130" s="2" t="str">
        <f>+VLOOKUP(C130,FRAGILIDAD,2,0)</f>
        <v>Nivel 3 (Normal)</v>
      </c>
    </row>
    <row r="131" spans="1:5" ht="16.8" x14ac:dyDescent="0.3">
      <c r="A131" s="3" t="s">
        <v>354</v>
      </c>
      <c r="B131" s="4" t="s">
        <v>84</v>
      </c>
      <c r="C131" s="4">
        <v>3</v>
      </c>
      <c r="D131" s="3" t="s">
        <v>3</v>
      </c>
      <c r="E131" s="2" t="str">
        <f>+VLOOKUP(C131,FRAGILIDAD,2,0)</f>
        <v>Nivel 3 (Normal)</v>
      </c>
    </row>
    <row r="132" spans="1:5" ht="16.8" x14ac:dyDescent="0.3">
      <c r="A132" s="3" t="s">
        <v>353</v>
      </c>
      <c r="B132" s="4" t="s">
        <v>84</v>
      </c>
      <c r="C132" s="4">
        <v>3</v>
      </c>
      <c r="D132" s="3" t="s">
        <v>3</v>
      </c>
      <c r="E132" s="2" t="str">
        <f>+VLOOKUP(C132,FRAGILIDAD,2,0)</f>
        <v>Nivel 3 (Normal)</v>
      </c>
    </row>
    <row r="133" spans="1:5" ht="16.8" x14ac:dyDescent="0.3">
      <c r="A133" s="3" t="s">
        <v>352</v>
      </c>
      <c r="B133" s="4" t="s">
        <v>84</v>
      </c>
      <c r="C133" s="4">
        <v>3</v>
      </c>
      <c r="D133" s="3" t="s">
        <v>3</v>
      </c>
      <c r="E133" s="2" t="str">
        <f>+VLOOKUP(C133,FRAGILIDAD,2,0)</f>
        <v>Nivel 3 (Normal)</v>
      </c>
    </row>
    <row r="134" spans="1:5" ht="16.8" x14ac:dyDescent="0.3">
      <c r="A134" s="3" t="s">
        <v>351</v>
      </c>
      <c r="B134" s="4" t="s">
        <v>84</v>
      </c>
      <c r="C134" s="4">
        <v>3</v>
      </c>
      <c r="D134" s="3" t="s">
        <v>3</v>
      </c>
      <c r="E134" s="2" t="str">
        <f>+VLOOKUP(C134,FRAGILIDAD,2,0)</f>
        <v>Nivel 3 (Normal)</v>
      </c>
    </row>
    <row r="135" spans="1:5" ht="16.8" x14ac:dyDescent="0.3">
      <c r="A135" s="3" t="s">
        <v>350</v>
      </c>
      <c r="B135" s="4" t="s">
        <v>84</v>
      </c>
      <c r="C135" s="4">
        <v>3</v>
      </c>
      <c r="D135" s="3" t="s">
        <v>3</v>
      </c>
      <c r="E135" s="2" t="str">
        <f>+VLOOKUP(C135,FRAGILIDAD,2,0)</f>
        <v>Nivel 3 (Normal)</v>
      </c>
    </row>
    <row r="136" spans="1:5" ht="16.8" x14ac:dyDescent="0.3">
      <c r="A136" s="3" t="s">
        <v>349</v>
      </c>
      <c r="B136" s="4" t="s">
        <v>84</v>
      </c>
      <c r="C136" s="4">
        <v>3</v>
      </c>
      <c r="D136" s="3" t="s">
        <v>3</v>
      </c>
      <c r="E136" s="2" t="str">
        <f>+VLOOKUP(C136,FRAGILIDAD,2,0)</f>
        <v>Nivel 3 (Normal)</v>
      </c>
    </row>
    <row r="137" spans="1:5" ht="16.8" x14ac:dyDescent="0.3">
      <c r="A137" s="3" t="s">
        <v>348</v>
      </c>
      <c r="B137" s="4" t="s">
        <v>84</v>
      </c>
      <c r="C137" s="4">
        <v>3</v>
      </c>
      <c r="D137" s="3" t="s">
        <v>3</v>
      </c>
      <c r="E137" s="2" t="str">
        <f>+VLOOKUP(C137,FRAGILIDAD,2,0)</f>
        <v>Nivel 3 (Normal)</v>
      </c>
    </row>
    <row r="138" spans="1:5" ht="16.8" x14ac:dyDescent="0.3">
      <c r="A138" s="3" t="s">
        <v>347</v>
      </c>
      <c r="B138" s="4" t="s">
        <v>84</v>
      </c>
      <c r="C138" s="4">
        <v>3</v>
      </c>
      <c r="D138" s="3" t="s">
        <v>3</v>
      </c>
      <c r="E138" s="2" t="str">
        <f>+VLOOKUP(C138,FRAGILIDAD,2,0)</f>
        <v>Nivel 3 (Normal)</v>
      </c>
    </row>
    <row r="139" spans="1:5" ht="16.8" x14ac:dyDescent="0.3">
      <c r="A139" s="3" t="s">
        <v>346</v>
      </c>
      <c r="B139" s="4" t="s">
        <v>84</v>
      </c>
      <c r="C139" s="4">
        <v>3</v>
      </c>
      <c r="D139" s="3" t="s">
        <v>3</v>
      </c>
      <c r="E139" s="2" t="str">
        <f>+VLOOKUP(C139,FRAGILIDAD,2,0)</f>
        <v>Nivel 3 (Normal)</v>
      </c>
    </row>
    <row r="140" spans="1:5" ht="16.8" x14ac:dyDescent="0.3">
      <c r="A140" s="3" t="s">
        <v>345</v>
      </c>
      <c r="B140" s="4" t="s">
        <v>84</v>
      </c>
      <c r="C140" s="4">
        <v>3</v>
      </c>
      <c r="D140" s="3" t="s">
        <v>0</v>
      </c>
      <c r="E140" s="2" t="str">
        <f>+VLOOKUP(C140,FRAGILIDAD,2,0)</f>
        <v>Nivel 3 (Normal)</v>
      </c>
    </row>
    <row r="141" spans="1:5" ht="16.8" x14ac:dyDescent="0.3">
      <c r="A141" s="3" t="s">
        <v>344</v>
      </c>
      <c r="B141" s="4" t="s">
        <v>84</v>
      </c>
      <c r="C141" s="4">
        <v>3</v>
      </c>
      <c r="D141" s="3" t="s">
        <v>0</v>
      </c>
      <c r="E141" s="2" t="str">
        <f>+VLOOKUP(C141,FRAGILIDAD,2,0)</f>
        <v>Nivel 3 (Normal)</v>
      </c>
    </row>
    <row r="142" spans="1:5" ht="16.8" x14ac:dyDescent="0.3">
      <c r="A142" s="3" t="s">
        <v>343</v>
      </c>
      <c r="B142" s="4" t="s">
        <v>84</v>
      </c>
      <c r="C142" s="4">
        <v>3</v>
      </c>
      <c r="D142" s="3" t="s">
        <v>3</v>
      </c>
      <c r="E142" s="2" t="str">
        <f>+VLOOKUP(C142,FRAGILIDAD,2,0)</f>
        <v>Nivel 3 (Normal)</v>
      </c>
    </row>
    <row r="143" spans="1:5" ht="16.8" x14ac:dyDescent="0.3">
      <c r="A143" s="3" t="s">
        <v>342</v>
      </c>
      <c r="B143" s="4" t="s">
        <v>84</v>
      </c>
      <c r="C143" s="4">
        <v>3</v>
      </c>
      <c r="D143" s="3" t="s">
        <v>3</v>
      </c>
      <c r="E143" s="2" t="str">
        <f>+VLOOKUP(C143,FRAGILIDAD,2,0)</f>
        <v>Nivel 3 (Normal)</v>
      </c>
    </row>
    <row r="144" spans="1:5" ht="16.8" x14ac:dyDescent="0.3">
      <c r="A144" s="3" t="s">
        <v>341</v>
      </c>
      <c r="B144" s="4" t="s">
        <v>84</v>
      </c>
      <c r="C144" s="4">
        <v>3</v>
      </c>
      <c r="D144" s="3" t="s">
        <v>3</v>
      </c>
      <c r="E144" s="2" t="str">
        <f>+VLOOKUP(C144,FRAGILIDAD,2,0)</f>
        <v>Nivel 3 (Normal)</v>
      </c>
    </row>
    <row r="145" spans="1:5" ht="16.8" x14ac:dyDescent="0.3">
      <c r="A145" s="3" t="s">
        <v>340</v>
      </c>
      <c r="B145" s="4" t="s">
        <v>84</v>
      </c>
      <c r="C145" s="4">
        <v>3</v>
      </c>
      <c r="D145" s="3" t="s">
        <v>0</v>
      </c>
      <c r="E145" s="2" t="str">
        <f>+VLOOKUP(C145,FRAGILIDAD,2,0)</f>
        <v>Nivel 3 (Normal)</v>
      </c>
    </row>
    <row r="146" spans="1:5" ht="16.8" x14ac:dyDescent="0.3">
      <c r="A146" s="3" t="s">
        <v>339</v>
      </c>
      <c r="B146" s="4" t="s">
        <v>84</v>
      </c>
      <c r="C146" s="4">
        <v>3</v>
      </c>
      <c r="D146" s="3" t="s">
        <v>0</v>
      </c>
      <c r="E146" s="2" t="str">
        <f>+VLOOKUP(C146,FRAGILIDAD,2,0)</f>
        <v>Nivel 3 (Normal)</v>
      </c>
    </row>
    <row r="147" spans="1:5" ht="16.8" x14ac:dyDescent="0.3">
      <c r="A147" s="3" t="s">
        <v>338</v>
      </c>
      <c r="B147" s="4" t="s">
        <v>84</v>
      </c>
      <c r="C147" s="4">
        <v>3</v>
      </c>
      <c r="D147" s="3" t="s">
        <v>0</v>
      </c>
      <c r="E147" s="2" t="str">
        <f>+VLOOKUP(C147,FRAGILIDAD,2,0)</f>
        <v>Nivel 3 (Normal)</v>
      </c>
    </row>
    <row r="148" spans="1:5" ht="16.8" x14ac:dyDescent="0.3">
      <c r="A148" s="3" t="s">
        <v>337</v>
      </c>
      <c r="B148" s="4" t="s">
        <v>84</v>
      </c>
      <c r="C148" s="4">
        <v>3</v>
      </c>
      <c r="D148" s="3" t="s">
        <v>0</v>
      </c>
      <c r="E148" s="2" t="str">
        <f>+VLOOKUP(C148,FRAGILIDAD,2,0)</f>
        <v>Nivel 3 (Normal)</v>
      </c>
    </row>
    <row r="149" spans="1:5" ht="16.8" x14ac:dyDescent="0.3">
      <c r="A149" s="3" t="s">
        <v>336</v>
      </c>
      <c r="B149" s="4" t="s">
        <v>84</v>
      </c>
      <c r="C149" s="4">
        <v>3</v>
      </c>
      <c r="D149" s="3" t="s">
        <v>0</v>
      </c>
      <c r="E149" s="2" t="str">
        <f>+VLOOKUP(C149,FRAGILIDAD,2,0)</f>
        <v>Nivel 3 (Normal)</v>
      </c>
    </row>
    <row r="150" spans="1:5" ht="16.8" x14ac:dyDescent="0.3">
      <c r="A150" s="3" t="s">
        <v>335</v>
      </c>
      <c r="B150" s="4" t="s">
        <v>84</v>
      </c>
      <c r="C150" s="4">
        <v>3</v>
      </c>
      <c r="D150" s="3" t="s">
        <v>0</v>
      </c>
      <c r="E150" s="2" t="str">
        <f>+VLOOKUP(C150,FRAGILIDAD,2,0)</f>
        <v>Nivel 3 (Normal)</v>
      </c>
    </row>
    <row r="151" spans="1:5" ht="16.8" x14ac:dyDescent="0.3">
      <c r="A151" s="3" t="s">
        <v>334</v>
      </c>
      <c r="B151" s="4" t="s">
        <v>84</v>
      </c>
      <c r="C151" s="4">
        <v>3</v>
      </c>
      <c r="D151" s="3" t="s">
        <v>3</v>
      </c>
      <c r="E151" s="2" t="str">
        <f>+VLOOKUP(C151,FRAGILIDAD,2,0)</f>
        <v>Nivel 3 (Normal)</v>
      </c>
    </row>
    <row r="152" spans="1:5" ht="16.8" x14ac:dyDescent="0.3">
      <c r="A152" s="3" t="s">
        <v>333</v>
      </c>
      <c r="B152" s="4" t="s">
        <v>84</v>
      </c>
      <c r="C152" s="4">
        <v>3</v>
      </c>
      <c r="D152" s="3" t="s">
        <v>3</v>
      </c>
      <c r="E152" s="2" t="str">
        <f>+VLOOKUP(C152,FRAGILIDAD,2,0)</f>
        <v>Nivel 3 (Normal)</v>
      </c>
    </row>
    <row r="153" spans="1:5" ht="16.8" x14ac:dyDescent="0.3">
      <c r="A153" s="3" t="s">
        <v>332</v>
      </c>
      <c r="B153" s="4" t="s">
        <v>84</v>
      </c>
      <c r="C153" s="4">
        <v>3</v>
      </c>
      <c r="D153" s="3" t="s">
        <v>0</v>
      </c>
      <c r="E153" s="2" t="str">
        <f>+VLOOKUP(C153,FRAGILIDAD,2,0)</f>
        <v>Nivel 3 (Normal)</v>
      </c>
    </row>
    <row r="154" spans="1:5" ht="16.8" x14ac:dyDescent="0.3">
      <c r="A154" s="3" t="s">
        <v>331</v>
      </c>
      <c r="B154" s="4" t="s">
        <v>84</v>
      </c>
      <c r="C154" s="4">
        <v>3</v>
      </c>
      <c r="D154" s="3" t="s">
        <v>3</v>
      </c>
      <c r="E154" s="2" t="str">
        <f>+VLOOKUP(C154,FRAGILIDAD,2,0)</f>
        <v>Nivel 3 (Normal)</v>
      </c>
    </row>
    <row r="155" spans="1:5" ht="16.8" x14ac:dyDescent="0.3">
      <c r="A155" s="3" t="s">
        <v>330</v>
      </c>
      <c r="B155" s="4" t="s">
        <v>84</v>
      </c>
      <c r="C155" s="4">
        <v>3</v>
      </c>
      <c r="D155" s="3" t="s">
        <v>3</v>
      </c>
      <c r="E155" s="2" t="str">
        <f>+VLOOKUP(C155,FRAGILIDAD,2,0)</f>
        <v>Nivel 3 (Normal)</v>
      </c>
    </row>
    <row r="156" spans="1:5" ht="16.8" x14ac:dyDescent="0.3">
      <c r="A156" s="3" t="s">
        <v>329</v>
      </c>
      <c r="B156" s="4" t="s">
        <v>84</v>
      </c>
      <c r="C156" s="4">
        <v>3</v>
      </c>
      <c r="D156" s="3" t="s">
        <v>3</v>
      </c>
      <c r="E156" s="2" t="str">
        <f>+VLOOKUP(C156,FRAGILIDAD,2,0)</f>
        <v>Nivel 3 (Normal)</v>
      </c>
    </row>
    <row r="157" spans="1:5" ht="16.8" x14ac:dyDescent="0.3">
      <c r="A157" s="3" t="s">
        <v>328</v>
      </c>
      <c r="B157" s="4" t="s">
        <v>84</v>
      </c>
      <c r="C157" s="4">
        <v>3</v>
      </c>
      <c r="D157" s="3" t="s">
        <v>3</v>
      </c>
      <c r="E157" s="2" t="str">
        <f>+VLOOKUP(C157,FRAGILIDAD,2,0)</f>
        <v>Nivel 3 (Normal)</v>
      </c>
    </row>
    <row r="158" spans="1:5" ht="16.8" x14ac:dyDescent="0.3">
      <c r="A158" s="3" t="s">
        <v>327</v>
      </c>
      <c r="B158" s="4" t="s">
        <v>84</v>
      </c>
      <c r="C158" s="4">
        <v>3</v>
      </c>
      <c r="D158" s="3" t="s">
        <v>3</v>
      </c>
      <c r="E158" s="2" t="str">
        <f>+VLOOKUP(C158,FRAGILIDAD,2,0)</f>
        <v>Nivel 3 (Normal)</v>
      </c>
    </row>
    <row r="159" spans="1:5" ht="16.8" x14ac:dyDescent="0.3">
      <c r="A159" s="3" t="s">
        <v>326</v>
      </c>
      <c r="B159" s="4" t="s">
        <v>84</v>
      </c>
      <c r="C159" s="4">
        <v>3</v>
      </c>
      <c r="D159" s="3" t="s">
        <v>3</v>
      </c>
      <c r="E159" s="2" t="str">
        <f>+VLOOKUP(C159,FRAGILIDAD,2,0)</f>
        <v>Nivel 3 (Normal)</v>
      </c>
    </row>
    <row r="160" spans="1:5" ht="16.8" x14ac:dyDescent="0.3">
      <c r="A160" s="3" t="s">
        <v>325</v>
      </c>
      <c r="B160" s="4" t="s">
        <v>84</v>
      </c>
      <c r="C160" s="4">
        <v>2</v>
      </c>
      <c r="D160" s="3" t="s">
        <v>10</v>
      </c>
      <c r="E160" s="2" t="str">
        <f>+VLOOKUP(C160,FRAGILIDAD,2,0)</f>
        <v>Nivel 2 (Frágil)</v>
      </c>
    </row>
    <row r="161" spans="1:5" ht="16.8" x14ac:dyDescent="0.3">
      <c r="A161" s="3" t="s">
        <v>324</v>
      </c>
      <c r="B161" s="4" t="s">
        <v>84</v>
      </c>
      <c r="C161" s="4">
        <v>2</v>
      </c>
      <c r="D161" s="3" t="s">
        <v>10</v>
      </c>
      <c r="E161" s="2" t="str">
        <f>+VLOOKUP(C161,FRAGILIDAD,2,0)</f>
        <v>Nivel 2 (Frágil)</v>
      </c>
    </row>
    <row r="162" spans="1:5" ht="16.8" x14ac:dyDescent="0.3">
      <c r="A162" s="3" t="s">
        <v>323</v>
      </c>
      <c r="B162" s="4" t="s">
        <v>84</v>
      </c>
      <c r="C162" s="4">
        <v>2</v>
      </c>
      <c r="D162" s="3" t="s">
        <v>10</v>
      </c>
      <c r="E162" s="2" t="str">
        <f>+VLOOKUP(C162,FRAGILIDAD,2,0)</f>
        <v>Nivel 2 (Frágil)</v>
      </c>
    </row>
    <row r="163" spans="1:5" ht="16.8" x14ac:dyDescent="0.3">
      <c r="A163" s="3" t="s">
        <v>322</v>
      </c>
      <c r="B163" s="4" t="s">
        <v>84</v>
      </c>
      <c r="C163" s="4">
        <v>2</v>
      </c>
      <c r="D163" s="3" t="s">
        <v>10</v>
      </c>
      <c r="E163" s="2" t="str">
        <f>+VLOOKUP(C163,FRAGILIDAD,2,0)</f>
        <v>Nivel 2 (Frágil)</v>
      </c>
    </row>
    <row r="164" spans="1:5" ht="16.8" x14ac:dyDescent="0.3">
      <c r="A164" s="3" t="s">
        <v>321</v>
      </c>
      <c r="B164" s="4" t="s">
        <v>84</v>
      </c>
      <c r="C164" s="4">
        <v>2</v>
      </c>
      <c r="D164" s="3" t="s">
        <v>10</v>
      </c>
      <c r="E164" s="2" t="str">
        <f>+VLOOKUP(C164,FRAGILIDAD,2,0)</f>
        <v>Nivel 2 (Frágil)</v>
      </c>
    </row>
    <row r="165" spans="1:5" ht="16.8" x14ac:dyDescent="0.3">
      <c r="A165" s="3" t="s">
        <v>320</v>
      </c>
      <c r="B165" s="4" t="s">
        <v>84</v>
      </c>
      <c r="C165" s="4">
        <v>2</v>
      </c>
      <c r="D165" s="3" t="s">
        <v>10</v>
      </c>
      <c r="E165" s="2" t="str">
        <f>+VLOOKUP(C165,FRAGILIDAD,2,0)</f>
        <v>Nivel 2 (Frágil)</v>
      </c>
    </row>
    <row r="166" spans="1:5" ht="16.8" x14ac:dyDescent="0.3">
      <c r="A166" s="3" t="s">
        <v>319</v>
      </c>
      <c r="B166" s="4" t="s">
        <v>84</v>
      </c>
      <c r="C166" s="4">
        <v>2</v>
      </c>
      <c r="D166" s="3" t="s">
        <v>10</v>
      </c>
      <c r="E166" s="2" t="str">
        <f>+VLOOKUP(C166,FRAGILIDAD,2,0)</f>
        <v>Nivel 2 (Frágil)</v>
      </c>
    </row>
    <row r="167" spans="1:5" ht="16.8" x14ac:dyDescent="0.3">
      <c r="A167" s="3" t="s">
        <v>318</v>
      </c>
      <c r="B167" s="4" t="s">
        <v>84</v>
      </c>
      <c r="C167" s="4">
        <v>1</v>
      </c>
      <c r="D167" s="3" t="s">
        <v>5</v>
      </c>
      <c r="E167" s="2" t="str">
        <f>+VLOOKUP(C167,FRAGILIDAD,2,0)</f>
        <v>Nivel 1 (Muy Frágil)</v>
      </c>
    </row>
    <row r="168" spans="1:5" ht="16.8" x14ac:dyDescent="0.3">
      <c r="A168" s="3" t="s">
        <v>317</v>
      </c>
      <c r="B168" s="4" t="s">
        <v>84</v>
      </c>
      <c r="C168" s="4">
        <v>2</v>
      </c>
      <c r="D168" s="3" t="s">
        <v>10</v>
      </c>
      <c r="E168" s="2" t="str">
        <f>+VLOOKUP(C168,FRAGILIDAD,2,0)</f>
        <v>Nivel 2 (Frágil)</v>
      </c>
    </row>
    <row r="169" spans="1:5" ht="16.8" x14ac:dyDescent="0.3">
      <c r="A169" s="3" t="s">
        <v>316</v>
      </c>
      <c r="B169" s="4" t="s">
        <v>84</v>
      </c>
      <c r="C169" s="4">
        <v>2</v>
      </c>
      <c r="D169" s="3" t="s">
        <v>10</v>
      </c>
      <c r="E169" s="2" t="str">
        <f>+VLOOKUP(C169,FRAGILIDAD,2,0)</f>
        <v>Nivel 2 (Frágil)</v>
      </c>
    </row>
    <row r="170" spans="1:5" ht="16.8" x14ac:dyDescent="0.3">
      <c r="A170" s="3" t="s">
        <v>315</v>
      </c>
      <c r="B170" s="4" t="s">
        <v>84</v>
      </c>
      <c r="C170" s="4">
        <v>2</v>
      </c>
      <c r="D170" s="3" t="s">
        <v>10</v>
      </c>
      <c r="E170" s="2" t="str">
        <f>+VLOOKUP(C170,FRAGILIDAD,2,0)</f>
        <v>Nivel 2 (Frágil)</v>
      </c>
    </row>
    <row r="171" spans="1:5" ht="16.8" x14ac:dyDescent="0.3">
      <c r="A171" s="3" t="s">
        <v>314</v>
      </c>
      <c r="B171" s="4" t="s">
        <v>84</v>
      </c>
      <c r="C171" s="4">
        <v>2</v>
      </c>
      <c r="D171" s="3" t="s">
        <v>10</v>
      </c>
      <c r="E171" s="2" t="str">
        <f>+VLOOKUP(C171,FRAGILIDAD,2,0)</f>
        <v>Nivel 2 (Frágil)</v>
      </c>
    </row>
    <row r="172" spans="1:5" ht="16.8" x14ac:dyDescent="0.3">
      <c r="A172" s="3" t="s">
        <v>313</v>
      </c>
      <c r="B172" s="4" t="s">
        <v>84</v>
      </c>
      <c r="C172" s="4">
        <v>2</v>
      </c>
      <c r="D172" s="3" t="s">
        <v>10</v>
      </c>
      <c r="E172" s="2" t="str">
        <f>+VLOOKUP(C172,FRAGILIDAD,2,0)</f>
        <v>Nivel 2 (Frágil)</v>
      </c>
    </row>
    <row r="173" spans="1:5" ht="16.8" x14ac:dyDescent="0.3">
      <c r="A173" s="3" t="s">
        <v>312</v>
      </c>
      <c r="B173" s="4" t="s">
        <v>84</v>
      </c>
      <c r="C173" s="4">
        <v>2</v>
      </c>
      <c r="D173" s="3" t="s">
        <v>10</v>
      </c>
      <c r="E173" s="2" t="str">
        <f>+VLOOKUP(C173,FRAGILIDAD,2,0)</f>
        <v>Nivel 2 (Frágil)</v>
      </c>
    </row>
    <row r="174" spans="1:5" ht="16.8" x14ac:dyDescent="0.3">
      <c r="A174" s="3" t="s">
        <v>311</v>
      </c>
      <c r="B174" s="4" t="s">
        <v>84</v>
      </c>
      <c r="C174" s="4">
        <v>3</v>
      </c>
      <c r="D174" s="3" t="s">
        <v>0</v>
      </c>
      <c r="E174" s="2" t="str">
        <f>+VLOOKUP(C174,FRAGILIDAD,2,0)</f>
        <v>Nivel 3 (Normal)</v>
      </c>
    </row>
    <row r="175" spans="1:5" ht="16.8" x14ac:dyDescent="0.3">
      <c r="A175" s="3" t="s">
        <v>310</v>
      </c>
      <c r="B175" s="4" t="s">
        <v>84</v>
      </c>
      <c r="C175" s="4">
        <v>3</v>
      </c>
      <c r="D175" s="3" t="s">
        <v>3</v>
      </c>
      <c r="E175" s="2" t="str">
        <f>+VLOOKUP(C175,FRAGILIDAD,2,0)</f>
        <v>Nivel 3 (Normal)</v>
      </c>
    </row>
    <row r="176" spans="1:5" ht="16.8" x14ac:dyDescent="0.3">
      <c r="A176" s="3" t="s">
        <v>309</v>
      </c>
      <c r="B176" s="4" t="s">
        <v>84</v>
      </c>
      <c r="C176" s="4">
        <v>3</v>
      </c>
      <c r="D176" s="3" t="s">
        <v>3</v>
      </c>
      <c r="E176" s="2" t="str">
        <f>+VLOOKUP(C176,FRAGILIDAD,2,0)</f>
        <v>Nivel 3 (Normal)</v>
      </c>
    </row>
    <row r="177" spans="1:5" ht="16.8" x14ac:dyDescent="0.3">
      <c r="A177" s="3" t="s">
        <v>308</v>
      </c>
      <c r="B177" s="4" t="s">
        <v>84</v>
      </c>
      <c r="C177" s="4">
        <v>3</v>
      </c>
      <c r="D177" s="3" t="s">
        <v>3</v>
      </c>
      <c r="E177" s="2" t="str">
        <f>+VLOOKUP(C177,FRAGILIDAD,2,0)</f>
        <v>Nivel 3 (Normal)</v>
      </c>
    </row>
    <row r="178" spans="1:5" ht="16.8" x14ac:dyDescent="0.3">
      <c r="A178" s="3" t="s">
        <v>307</v>
      </c>
      <c r="B178" s="4" t="s">
        <v>84</v>
      </c>
      <c r="C178" s="4">
        <v>3</v>
      </c>
      <c r="D178" s="3" t="s">
        <v>3</v>
      </c>
      <c r="E178" s="2" t="str">
        <f>+VLOOKUP(C178,FRAGILIDAD,2,0)</f>
        <v>Nivel 3 (Normal)</v>
      </c>
    </row>
    <row r="179" spans="1:5" ht="16.8" x14ac:dyDescent="0.3">
      <c r="A179" s="3" t="s">
        <v>306</v>
      </c>
      <c r="B179" s="4" t="s">
        <v>84</v>
      </c>
      <c r="C179" s="4">
        <v>2</v>
      </c>
      <c r="D179" s="3" t="s">
        <v>10</v>
      </c>
      <c r="E179" s="2" t="str">
        <f>+VLOOKUP(C179,FRAGILIDAD,2,0)</f>
        <v>Nivel 2 (Frágil)</v>
      </c>
    </row>
    <row r="180" spans="1:5" ht="16.8" x14ac:dyDescent="0.3">
      <c r="A180" s="3" t="s">
        <v>305</v>
      </c>
      <c r="B180" s="4" t="s">
        <v>84</v>
      </c>
      <c r="C180" s="4">
        <v>2</v>
      </c>
      <c r="D180" s="3" t="s">
        <v>10</v>
      </c>
      <c r="E180" s="2" t="str">
        <f>+VLOOKUP(C180,FRAGILIDAD,2,0)</f>
        <v>Nivel 2 (Frágil)</v>
      </c>
    </row>
    <row r="181" spans="1:5" ht="16.8" x14ac:dyDescent="0.3">
      <c r="A181" s="3" t="s">
        <v>304</v>
      </c>
      <c r="B181" s="4" t="s">
        <v>84</v>
      </c>
      <c r="C181" s="4">
        <v>4</v>
      </c>
      <c r="D181" s="3" t="s">
        <v>83</v>
      </c>
      <c r="E181" s="2" t="str">
        <f>+VLOOKUP(C181,FRAGILIDAD,2,0)</f>
        <v>Nivel 4 (Muy Resistente)</v>
      </c>
    </row>
    <row r="182" spans="1:5" ht="16.8" x14ac:dyDescent="0.3">
      <c r="A182" s="3" t="s">
        <v>303</v>
      </c>
      <c r="B182" s="4" t="s">
        <v>84</v>
      </c>
      <c r="C182" s="4">
        <v>4</v>
      </c>
      <c r="D182" s="3" t="s">
        <v>83</v>
      </c>
      <c r="E182" s="2" t="str">
        <f>+VLOOKUP(C182,FRAGILIDAD,2,0)</f>
        <v>Nivel 4 (Muy Resistente)</v>
      </c>
    </row>
    <row r="183" spans="1:5" ht="16.8" x14ac:dyDescent="0.3">
      <c r="A183" s="3" t="s">
        <v>302</v>
      </c>
      <c r="B183" s="4" t="s">
        <v>84</v>
      </c>
      <c r="C183" s="4">
        <v>2</v>
      </c>
      <c r="D183" s="3" t="s">
        <v>10</v>
      </c>
      <c r="E183" s="2" t="str">
        <f>+VLOOKUP(C183,FRAGILIDAD,2,0)</f>
        <v>Nivel 2 (Frágil)</v>
      </c>
    </row>
    <row r="184" spans="1:5" ht="16.8" x14ac:dyDescent="0.3">
      <c r="A184" s="3" t="s">
        <v>301</v>
      </c>
      <c r="B184" s="4" t="s">
        <v>84</v>
      </c>
      <c r="C184" s="4">
        <v>2</v>
      </c>
      <c r="D184" s="3" t="s">
        <v>10</v>
      </c>
      <c r="E184" s="2" t="str">
        <f>+VLOOKUP(C184,FRAGILIDAD,2,0)</f>
        <v>Nivel 2 (Frágil)</v>
      </c>
    </row>
    <row r="185" spans="1:5" ht="16.8" x14ac:dyDescent="0.3">
      <c r="A185" s="3" t="s">
        <v>300</v>
      </c>
      <c r="B185" s="4" t="s">
        <v>84</v>
      </c>
      <c r="C185" s="4">
        <v>4</v>
      </c>
      <c r="D185" s="3" t="s">
        <v>83</v>
      </c>
      <c r="E185" s="2" t="str">
        <f>+VLOOKUP(C185,FRAGILIDAD,2,0)</f>
        <v>Nivel 4 (Muy Resistente)</v>
      </c>
    </row>
    <row r="186" spans="1:5" ht="16.8" x14ac:dyDescent="0.3">
      <c r="A186" s="3" t="s">
        <v>299</v>
      </c>
      <c r="B186" s="4" t="s">
        <v>84</v>
      </c>
      <c r="C186" s="4">
        <v>2</v>
      </c>
      <c r="D186" s="3" t="s">
        <v>10</v>
      </c>
      <c r="E186" s="2" t="str">
        <f>+VLOOKUP(C186,FRAGILIDAD,2,0)</f>
        <v>Nivel 2 (Frágil)</v>
      </c>
    </row>
    <row r="187" spans="1:5" ht="16.8" x14ac:dyDescent="0.3">
      <c r="A187" s="3" t="s">
        <v>298</v>
      </c>
      <c r="B187" s="4" t="s">
        <v>84</v>
      </c>
      <c r="C187" s="4">
        <v>4</v>
      </c>
      <c r="D187" s="3" t="s">
        <v>83</v>
      </c>
      <c r="E187" s="2" t="str">
        <f>+VLOOKUP(C187,FRAGILIDAD,2,0)</f>
        <v>Nivel 4 (Muy Resistente)</v>
      </c>
    </row>
    <row r="188" spans="1:5" ht="16.8" x14ac:dyDescent="0.3">
      <c r="A188" s="3" t="s">
        <v>297</v>
      </c>
      <c r="B188" s="4" t="s">
        <v>84</v>
      </c>
      <c r="C188" s="4">
        <v>4</v>
      </c>
      <c r="D188" s="3" t="s">
        <v>83</v>
      </c>
      <c r="E188" s="2" t="str">
        <f>+VLOOKUP(C188,FRAGILIDAD,2,0)</f>
        <v>Nivel 4 (Muy Resistente)</v>
      </c>
    </row>
    <row r="189" spans="1:5" ht="16.8" x14ac:dyDescent="0.3">
      <c r="A189" s="3" t="s">
        <v>296</v>
      </c>
      <c r="B189" s="4" t="s">
        <v>84</v>
      </c>
      <c r="C189" s="4">
        <v>4</v>
      </c>
      <c r="D189" s="3" t="s">
        <v>83</v>
      </c>
      <c r="E189" s="2" t="str">
        <f>+VLOOKUP(C189,FRAGILIDAD,2,0)</f>
        <v>Nivel 4 (Muy Resistente)</v>
      </c>
    </row>
    <row r="190" spans="1:5" ht="16.8" x14ac:dyDescent="0.3">
      <c r="A190" s="3" t="s">
        <v>295</v>
      </c>
      <c r="B190" s="4" t="s">
        <v>84</v>
      </c>
      <c r="C190" s="4">
        <v>2</v>
      </c>
      <c r="D190" s="3" t="s">
        <v>10</v>
      </c>
      <c r="E190" s="2" t="str">
        <f>+VLOOKUP(C190,FRAGILIDAD,2,0)</f>
        <v>Nivel 2 (Frágil)</v>
      </c>
    </row>
    <row r="191" spans="1:5" ht="16.8" x14ac:dyDescent="0.3">
      <c r="A191" s="3" t="s">
        <v>294</v>
      </c>
      <c r="B191" s="4" t="s">
        <v>84</v>
      </c>
      <c r="C191" s="4">
        <v>4</v>
      </c>
      <c r="D191" s="3" t="s">
        <v>83</v>
      </c>
      <c r="E191" s="2" t="str">
        <f>+VLOOKUP(C191,FRAGILIDAD,2,0)</f>
        <v>Nivel 4 (Muy Resistente)</v>
      </c>
    </row>
    <row r="192" spans="1:5" ht="16.8" x14ac:dyDescent="0.3">
      <c r="A192" s="3" t="s">
        <v>293</v>
      </c>
      <c r="B192" s="4" t="s">
        <v>84</v>
      </c>
      <c r="C192" s="4">
        <v>1</v>
      </c>
      <c r="D192" s="3" t="s">
        <v>5</v>
      </c>
      <c r="E192" s="2" t="str">
        <f>+VLOOKUP(C192,FRAGILIDAD,2,0)</f>
        <v>Nivel 1 (Muy Frágil)</v>
      </c>
    </row>
    <row r="193" spans="1:5" ht="16.8" x14ac:dyDescent="0.3">
      <c r="A193" s="3" t="s">
        <v>292</v>
      </c>
      <c r="B193" s="4" t="s">
        <v>84</v>
      </c>
      <c r="C193" s="4">
        <v>1</v>
      </c>
      <c r="D193" s="3" t="s">
        <v>5</v>
      </c>
      <c r="E193" s="2" t="str">
        <f>+VLOOKUP(C193,FRAGILIDAD,2,0)</f>
        <v>Nivel 1 (Muy Frágil)</v>
      </c>
    </row>
    <row r="194" spans="1:5" ht="16.8" x14ac:dyDescent="0.3">
      <c r="A194" s="3" t="s">
        <v>291</v>
      </c>
      <c r="B194" s="4" t="s">
        <v>84</v>
      </c>
      <c r="C194" s="4">
        <v>2</v>
      </c>
      <c r="D194" s="3" t="s">
        <v>10</v>
      </c>
      <c r="E194" s="2" t="str">
        <f>+VLOOKUP(C194,FRAGILIDAD,2,0)</f>
        <v>Nivel 2 (Frágil)</v>
      </c>
    </row>
    <row r="195" spans="1:5" ht="16.8" x14ac:dyDescent="0.3">
      <c r="A195" s="3" t="s">
        <v>290</v>
      </c>
      <c r="B195" s="4" t="s">
        <v>84</v>
      </c>
      <c r="C195" s="4">
        <v>2</v>
      </c>
      <c r="D195" s="3" t="s">
        <v>10</v>
      </c>
      <c r="E195" s="2" t="str">
        <f>+VLOOKUP(C195,FRAGILIDAD,2,0)</f>
        <v>Nivel 2 (Frágil)</v>
      </c>
    </row>
    <row r="196" spans="1:5" ht="16.8" x14ac:dyDescent="0.3">
      <c r="A196" s="3" t="s">
        <v>289</v>
      </c>
      <c r="B196" s="4" t="s">
        <v>84</v>
      </c>
      <c r="C196" s="4">
        <v>4</v>
      </c>
      <c r="D196" s="3" t="s">
        <v>83</v>
      </c>
      <c r="E196" s="2" t="str">
        <f>+VLOOKUP(C196,FRAGILIDAD,2,0)</f>
        <v>Nivel 4 (Muy Resistente)</v>
      </c>
    </row>
    <row r="197" spans="1:5" ht="16.8" x14ac:dyDescent="0.3">
      <c r="A197" s="3" t="s">
        <v>288</v>
      </c>
      <c r="B197" s="4" t="s">
        <v>84</v>
      </c>
      <c r="C197" s="4">
        <v>2</v>
      </c>
      <c r="D197" s="3" t="s">
        <v>10</v>
      </c>
      <c r="E197" s="2" t="str">
        <f>+VLOOKUP(C197,FRAGILIDAD,2,0)</f>
        <v>Nivel 2 (Frágil)</v>
      </c>
    </row>
    <row r="198" spans="1:5" ht="16.8" x14ac:dyDescent="0.3">
      <c r="A198" s="3" t="s">
        <v>287</v>
      </c>
      <c r="B198" s="4" t="s">
        <v>84</v>
      </c>
      <c r="C198" s="4">
        <v>2</v>
      </c>
      <c r="D198" s="3" t="s">
        <v>10</v>
      </c>
      <c r="E198" s="2" t="str">
        <f>+VLOOKUP(C198,FRAGILIDAD,2,0)</f>
        <v>Nivel 2 (Frágil)</v>
      </c>
    </row>
    <row r="199" spans="1:5" ht="16.8" x14ac:dyDescent="0.3">
      <c r="A199" s="3" t="s">
        <v>286</v>
      </c>
      <c r="B199" s="4" t="s">
        <v>84</v>
      </c>
      <c r="C199" s="4">
        <v>4</v>
      </c>
      <c r="D199" s="3" t="s">
        <v>83</v>
      </c>
      <c r="E199" s="2" t="str">
        <f>+VLOOKUP(C199,FRAGILIDAD,2,0)</f>
        <v>Nivel 4 (Muy Resistente)</v>
      </c>
    </row>
    <row r="200" spans="1:5" ht="16.8" x14ac:dyDescent="0.3">
      <c r="A200" s="3" t="s">
        <v>285</v>
      </c>
      <c r="B200" s="4" t="s">
        <v>84</v>
      </c>
      <c r="C200" s="4">
        <v>2</v>
      </c>
      <c r="D200" s="3" t="s">
        <v>10</v>
      </c>
      <c r="E200" s="2" t="str">
        <f>+VLOOKUP(C200,FRAGILIDAD,2,0)</f>
        <v>Nivel 2 (Frágil)</v>
      </c>
    </row>
    <row r="201" spans="1:5" ht="16.8" x14ac:dyDescent="0.3">
      <c r="A201" s="3" t="s">
        <v>284</v>
      </c>
      <c r="B201" s="4" t="s">
        <v>84</v>
      </c>
      <c r="C201" s="4">
        <v>2</v>
      </c>
      <c r="D201" s="3" t="s">
        <v>10</v>
      </c>
      <c r="E201" s="2" t="str">
        <f>+VLOOKUP(C201,FRAGILIDAD,2,0)</f>
        <v>Nivel 2 (Frágil)</v>
      </c>
    </row>
    <row r="202" spans="1:5" ht="16.8" x14ac:dyDescent="0.3">
      <c r="A202" s="3" t="s">
        <v>283</v>
      </c>
      <c r="B202" s="4" t="s">
        <v>84</v>
      </c>
      <c r="C202" s="4">
        <v>4</v>
      </c>
      <c r="D202" s="3" t="s">
        <v>83</v>
      </c>
      <c r="E202" s="2" t="str">
        <f>+VLOOKUP(C202,FRAGILIDAD,2,0)</f>
        <v>Nivel 4 (Muy Resistente)</v>
      </c>
    </row>
    <row r="203" spans="1:5" ht="16.8" x14ac:dyDescent="0.3">
      <c r="A203" s="3" t="s">
        <v>282</v>
      </c>
      <c r="B203" s="4" t="s">
        <v>84</v>
      </c>
      <c r="C203" s="4">
        <v>4</v>
      </c>
      <c r="D203" s="3" t="s">
        <v>83</v>
      </c>
      <c r="E203" s="2" t="str">
        <f>+VLOOKUP(C203,FRAGILIDAD,2,0)</f>
        <v>Nivel 4 (Muy Resistente)</v>
      </c>
    </row>
    <row r="204" spans="1:5" ht="16.8" x14ac:dyDescent="0.3">
      <c r="A204" s="3" t="s">
        <v>281</v>
      </c>
      <c r="B204" s="4" t="s">
        <v>84</v>
      </c>
      <c r="C204" s="4">
        <v>2</v>
      </c>
      <c r="D204" s="3" t="s">
        <v>10</v>
      </c>
      <c r="E204" s="2" t="str">
        <f>+VLOOKUP(C204,FRAGILIDAD,2,0)</f>
        <v>Nivel 2 (Frágil)</v>
      </c>
    </row>
    <row r="205" spans="1:5" ht="16.8" x14ac:dyDescent="0.3">
      <c r="A205" s="3" t="s">
        <v>280</v>
      </c>
      <c r="B205" s="4" t="s">
        <v>84</v>
      </c>
      <c r="C205" s="4">
        <v>4</v>
      </c>
      <c r="D205" s="3" t="s">
        <v>83</v>
      </c>
      <c r="E205" s="2" t="str">
        <f>+VLOOKUP(C205,FRAGILIDAD,2,0)</f>
        <v>Nivel 4 (Muy Resistente)</v>
      </c>
    </row>
    <row r="206" spans="1:5" ht="16.8" x14ac:dyDescent="0.3">
      <c r="A206" s="3" t="s">
        <v>279</v>
      </c>
      <c r="B206" s="4" t="s">
        <v>84</v>
      </c>
      <c r="C206" s="4">
        <v>2</v>
      </c>
      <c r="D206" s="3" t="s">
        <v>10</v>
      </c>
      <c r="E206" s="2" t="str">
        <f>+VLOOKUP(C206,FRAGILIDAD,2,0)</f>
        <v>Nivel 2 (Frágil)</v>
      </c>
    </row>
    <row r="207" spans="1:5" ht="16.8" x14ac:dyDescent="0.3">
      <c r="A207" s="3" t="s">
        <v>278</v>
      </c>
      <c r="B207" s="4" t="s">
        <v>84</v>
      </c>
      <c r="C207" s="4">
        <v>2</v>
      </c>
      <c r="D207" s="3" t="s">
        <v>10</v>
      </c>
      <c r="E207" s="2" t="str">
        <f>+VLOOKUP(C207,FRAGILIDAD,2,0)</f>
        <v>Nivel 2 (Frágil)</v>
      </c>
    </row>
    <row r="208" spans="1:5" ht="16.8" x14ac:dyDescent="0.3">
      <c r="A208" s="3" t="s">
        <v>277</v>
      </c>
      <c r="B208" s="4" t="s">
        <v>84</v>
      </c>
      <c r="C208" s="4">
        <v>3</v>
      </c>
      <c r="D208" s="3" t="s">
        <v>3</v>
      </c>
      <c r="E208" s="2" t="str">
        <f>+VLOOKUP(C208,FRAGILIDAD,2,0)</f>
        <v>Nivel 3 (Normal)</v>
      </c>
    </row>
    <row r="209" spans="1:5" ht="16.8" x14ac:dyDescent="0.3">
      <c r="A209" s="3" t="s">
        <v>276</v>
      </c>
      <c r="B209" s="4" t="s">
        <v>84</v>
      </c>
      <c r="C209" s="4">
        <v>3</v>
      </c>
      <c r="D209" s="3" t="s">
        <v>3</v>
      </c>
      <c r="E209" s="2" t="str">
        <f>+VLOOKUP(C209,FRAGILIDAD,2,0)</f>
        <v>Nivel 3 (Normal)</v>
      </c>
    </row>
    <row r="210" spans="1:5" ht="16.8" x14ac:dyDescent="0.3">
      <c r="A210" s="3" t="s">
        <v>275</v>
      </c>
      <c r="B210" s="4" t="s">
        <v>84</v>
      </c>
      <c r="C210" s="4">
        <v>3</v>
      </c>
      <c r="D210" s="3" t="s">
        <v>3</v>
      </c>
      <c r="E210" s="2" t="str">
        <f>+VLOOKUP(C210,FRAGILIDAD,2,0)</f>
        <v>Nivel 3 (Normal)</v>
      </c>
    </row>
    <row r="211" spans="1:5" ht="16.8" x14ac:dyDescent="0.3">
      <c r="A211" s="3" t="s">
        <v>274</v>
      </c>
      <c r="B211" s="4" t="s">
        <v>84</v>
      </c>
      <c r="C211" s="4">
        <v>3</v>
      </c>
      <c r="D211" s="3" t="s">
        <v>3</v>
      </c>
      <c r="E211" s="2" t="str">
        <f>+VLOOKUP(C211,FRAGILIDAD,2,0)</f>
        <v>Nivel 3 (Normal)</v>
      </c>
    </row>
    <row r="212" spans="1:5" ht="16.8" x14ac:dyDescent="0.3">
      <c r="A212" s="3" t="s">
        <v>273</v>
      </c>
      <c r="B212" s="4" t="s">
        <v>84</v>
      </c>
      <c r="C212" s="4">
        <v>3</v>
      </c>
      <c r="D212" s="3" t="s">
        <v>3</v>
      </c>
      <c r="E212" s="2" t="str">
        <f>+VLOOKUP(C212,FRAGILIDAD,2,0)</f>
        <v>Nivel 3 (Normal)</v>
      </c>
    </row>
    <row r="213" spans="1:5" ht="16.8" x14ac:dyDescent="0.3">
      <c r="A213" s="3" t="s">
        <v>272</v>
      </c>
      <c r="B213" s="4" t="s">
        <v>84</v>
      </c>
      <c r="C213" s="4">
        <v>4</v>
      </c>
      <c r="D213" s="3" t="s">
        <v>83</v>
      </c>
      <c r="E213" s="2" t="str">
        <f>+VLOOKUP(C213,FRAGILIDAD,2,0)</f>
        <v>Nivel 4 (Muy Resistente)</v>
      </c>
    </row>
    <row r="214" spans="1:5" ht="16.8" x14ac:dyDescent="0.3">
      <c r="A214" s="3" t="s">
        <v>271</v>
      </c>
      <c r="B214" s="4" t="s">
        <v>84</v>
      </c>
      <c r="C214" s="4">
        <v>4</v>
      </c>
      <c r="D214" s="3" t="s">
        <v>83</v>
      </c>
      <c r="E214" s="2" t="str">
        <f>+VLOOKUP(C214,FRAGILIDAD,2,0)</f>
        <v>Nivel 4 (Muy Resistente)</v>
      </c>
    </row>
    <row r="215" spans="1:5" ht="16.8" x14ac:dyDescent="0.3">
      <c r="A215" s="3" t="s">
        <v>270</v>
      </c>
      <c r="B215" s="4" t="s">
        <v>84</v>
      </c>
      <c r="C215" s="4">
        <v>4</v>
      </c>
      <c r="D215" s="3" t="s">
        <v>83</v>
      </c>
      <c r="E215" s="2" t="str">
        <f>+VLOOKUP(C215,FRAGILIDAD,2,0)</f>
        <v>Nivel 4 (Muy Resistente)</v>
      </c>
    </row>
    <row r="216" spans="1:5" ht="16.8" x14ac:dyDescent="0.3">
      <c r="A216" s="3" t="s">
        <v>269</v>
      </c>
      <c r="B216" s="4" t="s">
        <v>84</v>
      </c>
      <c r="C216" s="4">
        <v>2</v>
      </c>
      <c r="D216" s="3" t="s">
        <v>10</v>
      </c>
      <c r="E216" s="2" t="str">
        <f>+VLOOKUP(C216,FRAGILIDAD,2,0)</f>
        <v>Nivel 2 (Frágil)</v>
      </c>
    </row>
    <row r="217" spans="1:5" ht="16.8" x14ac:dyDescent="0.3">
      <c r="A217" s="3" t="s">
        <v>268</v>
      </c>
      <c r="B217" s="4" t="s">
        <v>84</v>
      </c>
      <c r="C217" s="4">
        <v>2</v>
      </c>
      <c r="D217" s="3" t="s">
        <v>10</v>
      </c>
      <c r="E217" s="2" t="str">
        <f>+VLOOKUP(C217,FRAGILIDAD,2,0)</f>
        <v>Nivel 2 (Frágil)</v>
      </c>
    </row>
    <row r="218" spans="1:5" ht="16.8" x14ac:dyDescent="0.3">
      <c r="A218" s="3" t="s">
        <v>267</v>
      </c>
      <c r="B218" s="4" t="s">
        <v>84</v>
      </c>
      <c r="C218" s="4">
        <v>2</v>
      </c>
      <c r="D218" s="3" t="s">
        <v>10</v>
      </c>
      <c r="E218" s="2" t="str">
        <f>+VLOOKUP(C218,FRAGILIDAD,2,0)</f>
        <v>Nivel 2 (Frágil)</v>
      </c>
    </row>
    <row r="219" spans="1:5" ht="16.8" x14ac:dyDescent="0.3">
      <c r="A219" s="3" t="s">
        <v>266</v>
      </c>
      <c r="B219" s="4" t="s">
        <v>84</v>
      </c>
      <c r="C219" s="4">
        <v>2</v>
      </c>
      <c r="D219" s="3" t="s">
        <v>10</v>
      </c>
      <c r="E219" s="2" t="str">
        <f>+VLOOKUP(C219,FRAGILIDAD,2,0)</f>
        <v>Nivel 2 (Frágil)</v>
      </c>
    </row>
    <row r="220" spans="1:5" ht="16.8" x14ac:dyDescent="0.3">
      <c r="A220" s="3" t="s">
        <v>265</v>
      </c>
      <c r="B220" s="4" t="s">
        <v>84</v>
      </c>
      <c r="C220" s="4">
        <v>4</v>
      </c>
      <c r="D220" s="3" t="s">
        <v>83</v>
      </c>
      <c r="E220" s="2" t="str">
        <f>+VLOOKUP(C220,FRAGILIDAD,2,0)</f>
        <v>Nivel 4 (Muy Resistente)</v>
      </c>
    </row>
    <row r="221" spans="1:5" ht="16.8" x14ac:dyDescent="0.3">
      <c r="A221" s="3" t="s">
        <v>264</v>
      </c>
      <c r="B221" s="4" t="s">
        <v>84</v>
      </c>
      <c r="C221" s="4">
        <v>5</v>
      </c>
      <c r="D221" s="3" t="s">
        <v>86</v>
      </c>
      <c r="E221" s="2" t="str">
        <f>+VLOOKUP(C221,FRAGILIDAD,2,0)</f>
        <v>Nivel 5 (Ultra Resistente)</v>
      </c>
    </row>
    <row r="222" spans="1:5" ht="16.8" x14ac:dyDescent="0.3">
      <c r="A222" s="3" t="s">
        <v>263</v>
      </c>
      <c r="B222" s="4" t="s">
        <v>84</v>
      </c>
      <c r="C222" s="4">
        <v>4</v>
      </c>
      <c r="D222" s="3" t="s">
        <v>83</v>
      </c>
      <c r="E222" s="2" t="str">
        <f>+VLOOKUP(C222,FRAGILIDAD,2,0)</f>
        <v>Nivel 4 (Muy Resistente)</v>
      </c>
    </row>
    <row r="223" spans="1:5" ht="16.8" x14ac:dyDescent="0.3">
      <c r="A223" s="3" t="s">
        <v>262</v>
      </c>
      <c r="B223" s="4" t="s">
        <v>84</v>
      </c>
      <c r="C223" s="4">
        <v>2</v>
      </c>
      <c r="D223" s="3" t="s">
        <v>10</v>
      </c>
      <c r="E223" s="2" t="str">
        <f>+VLOOKUP(C223,FRAGILIDAD,2,0)</f>
        <v>Nivel 2 (Frágil)</v>
      </c>
    </row>
    <row r="224" spans="1:5" ht="16.8" x14ac:dyDescent="0.3">
      <c r="A224" s="3" t="s">
        <v>261</v>
      </c>
      <c r="B224" s="4" t="s">
        <v>84</v>
      </c>
      <c r="C224" s="4">
        <v>4</v>
      </c>
      <c r="D224" s="3" t="s">
        <v>83</v>
      </c>
      <c r="E224" s="2" t="str">
        <f>+VLOOKUP(C224,FRAGILIDAD,2,0)</f>
        <v>Nivel 4 (Muy Resistente)</v>
      </c>
    </row>
    <row r="225" spans="1:5" ht="16.8" x14ac:dyDescent="0.3">
      <c r="A225" s="3" t="s">
        <v>260</v>
      </c>
      <c r="B225" s="4" t="s">
        <v>84</v>
      </c>
      <c r="C225" s="4">
        <v>4</v>
      </c>
      <c r="D225" s="3" t="s">
        <v>83</v>
      </c>
      <c r="E225" s="2" t="str">
        <f>+VLOOKUP(C225,FRAGILIDAD,2,0)</f>
        <v>Nivel 4 (Muy Resistente)</v>
      </c>
    </row>
    <row r="226" spans="1:5" ht="16.8" x14ac:dyDescent="0.3">
      <c r="A226" s="3" t="s">
        <v>259</v>
      </c>
      <c r="B226" s="4" t="s">
        <v>84</v>
      </c>
      <c r="C226" s="4">
        <v>2</v>
      </c>
      <c r="D226" s="3" t="s">
        <v>10</v>
      </c>
      <c r="E226" s="2" t="str">
        <f>+VLOOKUP(C226,FRAGILIDAD,2,0)</f>
        <v>Nivel 2 (Frágil)</v>
      </c>
    </row>
    <row r="227" spans="1:5" ht="16.8" x14ac:dyDescent="0.3">
      <c r="A227" s="3" t="s">
        <v>258</v>
      </c>
      <c r="B227" s="4" t="s">
        <v>84</v>
      </c>
      <c r="C227" s="4">
        <v>2</v>
      </c>
      <c r="D227" s="3" t="s">
        <v>10</v>
      </c>
      <c r="E227" s="2" t="str">
        <f>+VLOOKUP(C227,FRAGILIDAD,2,0)</f>
        <v>Nivel 2 (Frágil)</v>
      </c>
    </row>
    <row r="228" spans="1:5" ht="16.8" x14ac:dyDescent="0.3">
      <c r="A228" s="3" t="s">
        <v>257</v>
      </c>
      <c r="B228" s="4" t="s">
        <v>84</v>
      </c>
      <c r="C228" s="4">
        <v>5</v>
      </c>
      <c r="D228" s="3" t="s">
        <v>86</v>
      </c>
      <c r="E228" s="2" t="str">
        <f>+VLOOKUP(C228,FRAGILIDAD,2,0)</f>
        <v>Nivel 5 (Ultra Resistente)</v>
      </c>
    </row>
    <row r="229" spans="1:5" ht="16.8" x14ac:dyDescent="0.3">
      <c r="A229" s="3" t="s">
        <v>256</v>
      </c>
      <c r="B229" s="4" t="s">
        <v>84</v>
      </c>
      <c r="C229" s="4">
        <v>2</v>
      </c>
      <c r="D229" s="3" t="s">
        <v>10</v>
      </c>
      <c r="E229" s="2" t="str">
        <f>+VLOOKUP(C229,FRAGILIDAD,2,0)</f>
        <v>Nivel 2 (Frágil)</v>
      </c>
    </row>
    <row r="230" spans="1:5" ht="16.8" x14ac:dyDescent="0.3">
      <c r="A230" s="3" t="s">
        <v>255</v>
      </c>
      <c r="B230" s="4" t="s">
        <v>84</v>
      </c>
      <c r="C230" s="4">
        <v>2</v>
      </c>
      <c r="D230" s="3" t="s">
        <v>10</v>
      </c>
      <c r="E230" s="2" t="str">
        <f>+VLOOKUP(C230,FRAGILIDAD,2,0)</f>
        <v>Nivel 2 (Frágil)</v>
      </c>
    </row>
    <row r="231" spans="1:5" ht="16.8" x14ac:dyDescent="0.3">
      <c r="A231" s="3" t="s">
        <v>254</v>
      </c>
      <c r="B231" s="4" t="s">
        <v>84</v>
      </c>
      <c r="C231" s="4">
        <v>2</v>
      </c>
      <c r="D231" s="3" t="s">
        <v>10</v>
      </c>
      <c r="E231" s="2" t="str">
        <f>+VLOOKUP(C231,FRAGILIDAD,2,0)</f>
        <v>Nivel 2 (Frágil)</v>
      </c>
    </row>
    <row r="232" spans="1:5" ht="16.8" x14ac:dyDescent="0.3">
      <c r="A232" s="3" t="s">
        <v>253</v>
      </c>
      <c r="B232" s="4" t="s">
        <v>84</v>
      </c>
      <c r="C232" s="4">
        <v>3</v>
      </c>
      <c r="D232" s="3" t="s">
        <v>3</v>
      </c>
      <c r="E232" s="2" t="str">
        <f>+VLOOKUP(C232,FRAGILIDAD,2,0)</f>
        <v>Nivel 3 (Normal)</v>
      </c>
    </row>
    <row r="233" spans="1:5" ht="16.8" x14ac:dyDescent="0.3">
      <c r="A233" s="3" t="s">
        <v>252</v>
      </c>
      <c r="B233" s="4" t="s">
        <v>84</v>
      </c>
      <c r="C233" s="4">
        <v>3</v>
      </c>
      <c r="D233" s="3" t="s">
        <v>3</v>
      </c>
      <c r="E233" s="2" t="str">
        <f>+VLOOKUP(C233,FRAGILIDAD,2,0)</f>
        <v>Nivel 3 (Normal)</v>
      </c>
    </row>
    <row r="234" spans="1:5" ht="16.8" x14ac:dyDescent="0.3">
      <c r="A234" s="3" t="s">
        <v>251</v>
      </c>
      <c r="B234" s="4" t="s">
        <v>84</v>
      </c>
      <c r="C234" s="4">
        <v>3</v>
      </c>
      <c r="D234" s="3" t="s">
        <v>3</v>
      </c>
      <c r="E234" s="2" t="str">
        <f>+VLOOKUP(C234,FRAGILIDAD,2,0)</f>
        <v>Nivel 3 (Normal)</v>
      </c>
    </row>
    <row r="235" spans="1:5" ht="16.8" x14ac:dyDescent="0.3">
      <c r="A235" s="3" t="s">
        <v>250</v>
      </c>
      <c r="B235" s="4" t="s">
        <v>84</v>
      </c>
      <c r="C235" s="4">
        <v>3</v>
      </c>
      <c r="D235" s="3" t="s">
        <v>0</v>
      </c>
      <c r="E235" s="2" t="str">
        <f>+VLOOKUP(C235,FRAGILIDAD,2,0)</f>
        <v>Nivel 3 (Normal)</v>
      </c>
    </row>
    <row r="236" spans="1:5" ht="16.8" x14ac:dyDescent="0.3">
      <c r="A236" s="3" t="s">
        <v>249</v>
      </c>
      <c r="B236" s="4" t="s">
        <v>84</v>
      </c>
      <c r="C236" s="4">
        <v>3</v>
      </c>
      <c r="D236" s="3" t="s">
        <v>0</v>
      </c>
      <c r="E236" s="2" t="str">
        <f>+VLOOKUP(C236,FRAGILIDAD,2,0)</f>
        <v>Nivel 3 (Normal)</v>
      </c>
    </row>
    <row r="237" spans="1:5" ht="16.8" x14ac:dyDescent="0.3">
      <c r="A237" s="3" t="s">
        <v>248</v>
      </c>
      <c r="B237" s="4" t="s">
        <v>84</v>
      </c>
      <c r="C237" s="4">
        <v>3</v>
      </c>
      <c r="D237" s="3" t="s">
        <v>0</v>
      </c>
      <c r="E237" s="2" t="str">
        <f>+VLOOKUP(C237,FRAGILIDAD,2,0)</f>
        <v>Nivel 3 (Normal)</v>
      </c>
    </row>
    <row r="238" spans="1:5" ht="16.8" x14ac:dyDescent="0.3">
      <c r="A238" s="3" t="s">
        <v>247</v>
      </c>
      <c r="B238" s="4" t="s">
        <v>84</v>
      </c>
      <c r="C238" s="4">
        <v>3</v>
      </c>
      <c r="D238" s="3" t="s">
        <v>3</v>
      </c>
      <c r="E238" s="2" t="str">
        <f>+VLOOKUP(C238,FRAGILIDAD,2,0)</f>
        <v>Nivel 3 (Normal)</v>
      </c>
    </row>
    <row r="239" spans="1:5" ht="16.8" x14ac:dyDescent="0.3">
      <c r="A239" s="3" t="s">
        <v>246</v>
      </c>
      <c r="B239" s="4" t="s">
        <v>84</v>
      </c>
      <c r="C239" s="4">
        <v>3</v>
      </c>
      <c r="D239" s="3" t="s">
        <v>3</v>
      </c>
      <c r="E239" s="2" t="str">
        <f>+VLOOKUP(C239,FRAGILIDAD,2,0)</f>
        <v>Nivel 3 (Normal)</v>
      </c>
    </row>
    <row r="240" spans="1:5" ht="16.8" x14ac:dyDescent="0.3">
      <c r="A240" s="3" t="s">
        <v>245</v>
      </c>
      <c r="B240" s="4" t="s">
        <v>84</v>
      </c>
      <c r="C240" s="4">
        <v>2</v>
      </c>
      <c r="D240" s="3" t="s">
        <v>10</v>
      </c>
      <c r="E240" s="2" t="str">
        <f>+VLOOKUP(C240,FRAGILIDAD,2,0)</f>
        <v>Nivel 2 (Frágil)</v>
      </c>
    </row>
    <row r="241" spans="1:5" ht="16.8" x14ac:dyDescent="0.3">
      <c r="A241" s="3" t="s">
        <v>244</v>
      </c>
      <c r="B241" s="4" t="s">
        <v>84</v>
      </c>
      <c r="C241" s="4">
        <v>2</v>
      </c>
      <c r="D241" s="3" t="s">
        <v>10</v>
      </c>
      <c r="E241" s="2" t="str">
        <f>+VLOOKUP(C241,FRAGILIDAD,2,0)</f>
        <v>Nivel 2 (Frágil)</v>
      </c>
    </row>
    <row r="242" spans="1:5" ht="16.8" x14ac:dyDescent="0.3">
      <c r="A242" s="3" t="s">
        <v>243</v>
      </c>
      <c r="B242" s="4" t="s">
        <v>84</v>
      </c>
      <c r="C242" s="4">
        <v>2</v>
      </c>
      <c r="D242" s="3" t="s">
        <v>10</v>
      </c>
      <c r="E242" s="2" t="str">
        <f>+VLOOKUP(C242,FRAGILIDAD,2,0)</f>
        <v>Nivel 2 (Frágil)</v>
      </c>
    </row>
    <row r="243" spans="1:5" ht="16.8" x14ac:dyDescent="0.3">
      <c r="A243" s="3" t="s">
        <v>242</v>
      </c>
      <c r="B243" s="4" t="s">
        <v>84</v>
      </c>
      <c r="C243" s="4">
        <v>2</v>
      </c>
      <c r="D243" s="3" t="s">
        <v>10</v>
      </c>
      <c r="E243" s="2" t="str">
        <f>+VLOOKUP(C243,FRAGILIDAD,2,0)</f>
        <v>Nivel 2 (Frágil)</v>
      </c>
    </row>
    <row r="244" spans="1:5" ht="16.8" x14ac:dyDescent="0.3">
      <c r="A244" s="3" t="s">
        <v>241</v>
      </c>
      <c r="B244" s="4" t="s">
        <v>84</v>
      </c>
      <c r="C244" s="4">
        <v>2</v>
      </c>
      <c r="D244" s="3" t="s">
        <v>10</v>
      </c>
      <c r="E244" s="2" t="str">
        <f>+VLOOKUP(C244,FRAGILIDAD,2,0)</f>
        <v>Nivel 2 (Frágil)</v>
      </c>
    </row>
    <row r="245" spans="1:5" ht="16.8" x14ac:dyDescent="0.3">
      <c r="A245" s="3" t="s">
        <v>240</v>
      </c>
      <c r="B245" s="4" t="s">
        <v>84</v>
      </c>
      <c r="C245" s="4">
        <v>2</v>
      </c>
      <c r="D245" s="3" t="s">
        <v>10</v>
      </c>
      <c r="E245" s="2" t="str">
        <f>+VLOOKUP(C245,FRAGILIDAD,2,0)</f>
        <v>Nivel 2 (Frágil)</v>
      </c>
    </row>
    <row r="246" spans="1:5" ht="16.8" x14ac:dyDescent="0.3">
      <c r="A246" s="3" t="s">
        <v>239</v>
      </c>
      <c r="B246" s="4" t="s">
        <v>84</v>
      </c>
      <c r="C246" s="4">
        <v>2</v>
      </c>
      <c r="D246" s="3" t="s">
        <v>10</v>
      </c>
      <c r="E246" s="2" t="str">
        <f>+VLOOKUP(C246,FRAGILIDAD,2,0)</f>
        <v>Nivel 2 (Frágil)</v>
      </c>
    </row>
    <row r="247" spans="1:5" ht="16.8" x14ac:dyDescent="0.3">
      <c r="A247" s="3" t="s">
        <v>238</v>
      </c>
      <c r="B247" s="4" t="s">
        <v>84</v>
      </c>
      <c r="C247" s="4">
        <v>2</v>
      </c>
      <c r="D247" s="3" t="s">
        <v>10</v>
      </c>
      <c r="E247" s="2" t="str">
        <f>+VLOOKUP(C247,FRAGILIDAD,2,0)</f>
        <v>Nivel 2 (Frágil)</v>
      </c>
    </row>
    <row r="248" spans="1:5" ht="16.8" x14ac:dyDescent="0.3">
      <c r="A248" s="3" t="s">
        <v>237</v>
      </c>
      <c r="B248" s="4" t="s">
        <v>84</v>
      </c>
      <c r="C248" s="4">
        <v>2</v>
      </c>
      <c r="D248" s="3" t="s">
        <v>10</v>
      </c>
      <c r="E248" s="2" t="str">
        <f>+VLOOKUP(C248,FRAGILIDAD,2,0)</f>
        <v>Nivel 2 (Frágil)</v>
      </c>
    </row>
    <row r="249" spans="1:5" ht="16.8" x14ac:dyDescent="0.3">
      <c r="A249" s="3" t="s">
        <v>236</v>
      </c>
      <c r="B249" s="4" t="s">
        <v>84</v>
      </c>
      <c r="C249" s="4">
        <v>2</v>
      </c>
      <c r="D249" s="3" t="s">
        <v>10</v>
      </c>
      <c r="E249" s="2" t="str">
        <f>+VLOOKUP(C249,FRAGILIDAD,2,0)</f>
        <v>Nivel 2 (Frágil)</v>
      </c>
    </row>
    <row r="250" spans="1:5" ht="16.8" x14ac:dyDescent="0.3">
      <c r="A250" s="3" t="s">
        <v>235</v>
      </c>
      <c r="B250" s="4" t="s">
        <v>84</v>
      </c>
      <c r="C250" s="4">
        <v>2</v>
      </c>
      <c r="D250" s="3" t="s">
        <v>10</v>
      </c>
      <c r="E250" s="2" t="str">
        <f>+VLOOKUP(C250,FRAGILIDAD,2,0)</f>
        <v>Nivel 2 (Frágil)</v>
      </c>
    </row>
    <row r="251" spans="1:5" ht="16.8" x14ac:dyDescent="0.3">
      <c r="A251" s="3" t="s">
        <v>234</v>
      </c>
      <c r="B251" s="4" t="s">
        <v>84</v>
      </c>
      <c r="C251" s="4">
        <v>2</v>
      </c>
      <c r="D251" s="3" t="s">
        <v>10</v>
      </c>
      <c r="E251" s="2" t="str">
        <f>+VLOOKUP(C251,FRAGILIDAD,2,0)</f>
        <v>Nivel 2 (Frágil)</v>
      </c>
    </row>
    <row r="252" spans="1:5" ht="16.8" x14ac:dyDescent="0.3">
      <c r="A252" s="3" t="s">
        <v>233</v>
      </c>
      <c r="B252" s="4" t="s">
        <v>84</v>
      </c>
      <c r="C252" s="4">
        <v>2</v>
      </c>
      <c r="D252" s="3" t="s">
        <v>10</v>
      </c>
      <c r="E252" s="2" t="str">
        <f>+VLOOKUP(C252,FRAGILIDAD,2,0)</f>
        <v>Nivel 2 (Frágil)</v>
      </c>
    </row>
    <row r="253" spans="1:5" ht="16.8" x14ac:dyDescent="0.3">
      <c r="A253" s="3" t="s">
        <v>232</v>
      </c>
      <c r="B253" s="4" t="s">
        <v>84</v>
      </c>
      <c r="C253" s="4">
        <v>2</v>
      </c>
      <c r="D253" s="3" t="s">
        <v>10</v>
      </c>
      <c r="E253" s="2" t="str">
        <f>+VLOOKUP(C253,FRAGILIDAD,2,0)</f>
        <v>Nivel 2 (Frágil)</v>
      </c>
    </row>
    <row r="254" spans="1:5" ht="16.8" x14ac:dyDescent="0.3">
      <c r="A254" s="3" t="s">
        <v>231</v>
      </c>
      <c r="B254" s="4" t="s">
        <v>84</v>
      </c>
      <c r="C254" s="4">
        <v>2</v>
      </c>
      <c r="D254" s="3" t="s">
        <v>10</v>
      </c>
      <c r="E254" s="2" t="str">
        <f>+VLOOKUP(C254,FRAGILIDAD,2,0)</f>
        <v>Nivel 2 (Frágil)</v>
      </c>
    </row>
    <row r="255" spans="1:5" ht="16.8" x14ac:dyDescent="0.3">
      <c r="A255" s="3" t="s">
        <v>230</v>
      </c>
      <c r="B255" s="4" t="s">
        <v>84</v>
      </c>
      <c r="C255" s="4">
        <v>3</v>
      </c>
      <c r="D255" s="3" t="s">
        <v>0</v>
      </c>
      <c r="E255" s="2" t="str">
        <f>+VLOOKUP(C255,FRAGILIDAD,2,0)</f>
        <v>Nivel 3 (Normal)</v>
      </c>
    </row>
    <row r="256" spans="1:5" ht="16.8" x14ac:dyDescent="0.3">
      <c r="A256" s="3" t="s">
        <v>229</v>
      </c>
      <c r="B256" s="4" t="s">
        <v>84</v>
      </c>
      <c r="C256" s="4">
        <v>3</v>
      </c>
      <c r="D256" s="3" t="s">
        <v>0</v>
      </c>
      <c r="E256" s="2" t="str">
        <f>+VLOOKUP(C256,FRAGILIDAD,2,0)</f>
        <v>Nivel 3 (Normal)</v>
      </c>
    </row>
    <row r="257" spans="1:5" ht="16.8" x14ac:dyDescent="0.3">
      <c r="A257" s="3" t="s">
        <v>228</v>
      </c>
      <c r="B257" s="4" t="s">
        <v>84</v>
      </c>
      <c r="C257" s="4">
        <v>1</v>
      </c>
      <c r="D257" s="3" t="s">
        <v>5</v>
      </c>
      <c r="E257" s="2" t="str">
        <f>+VLOOKUP(C257,FRAGILIDAD,2,0)</f>
        <v>Nivel 1 (Muy Frágil)</v>
      </c>
    </row>
    <row r="258" spans="1:5" ht="16.8" x14ac:dyDescent="0.3">
      <c r="A258" s="3" t="s">
        <v>227</v>
      </c>
      <c r="B258" s="4" t="s">
        <v>84</v>
      </c>
      <c r="C258" s="4">
        <v>1</v>
      </c>
      <c r="D258" s="3" t="s">
        <v>5</v>
      </c>
      <c r="E258" s="2" t="str">
        <f>+VLOOKUP(C258,FRAGILIDAD,2,0)</f>
        <v>Nivel 1 (Muy Frágil)</v>
      </c>
    </row>
    <row r="259" spans="1:5" ht="16.8" x14ac:dyDescent="0.3">
      <c r="A259" s="3" t="s">
        <v>226</v>
      </c>
      <c r="B259" s="4" t="s">
        <v>84</v>
      </c>
      <c r="C259" s="4">
        <v>1</v>
      </c>
      <c r="D259" s="3" t="s">
        <v>5</v>
      </c>
      <c r="E259" s="2" t="str">
        <f>+VLOOKUP(C259,FRAGILIDAD,2,0)</f>
        <v>Nivel 1 (Muy Frágil)</v>
      </c>
    </row>
    <row r="260" spans="1:5" ht="16.8" x14ac:dyDescent="0.3">
      <c r="A260" s="3" t="s">
        <v>225</v>
      </c>
      <c r="B260" s="4" t="s">
        <v>84</v>
      </c>
      <c r="C260" s="4">
        <v>1</v>
      </c>
      <c r="D260" s="3" t="s">
        <v>5</v>
      </c>
      <c r="E260" s="2" t="str">
        <f>+VLOOKUP(C260,FRAGILIDAD,2,0)</f>
        <v>Nivel 1 (Muy Frágil)</v>
      </c>
    </row>
    <row r="261" spans="1:5" ht="16.8" x14ac:dyDescent="0.3">
      <c r="A261" s="3" t="s">
        <v>224</v>
      </c>
      <c r="B261" s="4" t="s">
        <v>84</v>
      </c>
      <c r="C261" s="4">
        <v>5</v>
      </c>
      <c r="D261" s="3" t="s">
        <v>86</v>
      </c>
      <c r="E261" s="2" t="str">
        <f>+VLOOKUP(C261,FRAGILIDAD,2,0)</f>
        <v>Nivel 5 (Ultra Resistente)</v>
      </c>
    </row>
    <row r="262" spans="1:5" ht="16.8" x14ac:dyDescent="0.3">
      <c r="A262" s="3" t="s">
        <v>223</v>
      </c>
      <c r="B262" s="4" t="s">
        <v>84</v>
      </c>
      <c r="C262" s="4">
        <v>5</v>
      </c>
      <c r="D262" s="3" t="s">
        <v>86</v>
      </c>
      <c r="E262" s="2" t="str">
        <f>+VLOOKUP(C262,FRAGILIDAD,2,0)</f>
        <v>Nivel 5 (Ultra Resistente)</v>
      </c>
    </row>
    <row r="263" spans="1:5" ht="16.8" x14ac:dyDescent="0.3">
      <c r="A263" s="3" t="s">
        <v>222</v>
      </c>
      <c r="B263" s="4" t="s">
        <v>84</v>
      </c>
      <c r="C263" s="4">
        <v>5</v>
      </c>
      <c r="D263" s="3" t="s">
        <v>86</v>
      </c>
      <c r="E263" s="2" t="str">
        <f>+VLOOKUP(C263,FRAGILIDAD,2,0)</f>
        <v>Nivel 5 (Ultra Resistente)</v>
      </c>
    </row>
    <row r="264" spans="1:5" ht="16.8" x14ac:dyDescent="0.3">
      <c r="A264" s="3" t="s">
        <v>221</v>
      </c>
      <c r="B264" s="4" t="s">
        <v>84</v>
      </c>
      <c r="C264" s="4">
        <v>3</v>
      </c>
      <c r="D264" s="3" t="s">
        <v>0</v>
      </c>
      <c r="E264" s="2" t="str">
        <f>+VLOOKUP(C264,FRAGILIDAD,2,0)</f>
        <v>Nivel 3 (Normal)</v>
      </c>
    </row>
    <row r="265" spans="1:5" ht="16.8" x14ac:dyDescent="0.3">
      <c r="A265" s="3" t="s">
        <v>220</v>
      </c>
      <c r="B265" s="4" t="s">
        <v>84</v>
      </c>
      <c r="C265" s="4">
        <v>3</v>
      </c>
      <c r="D265" s="3" t="s">
        <v>0</v>
      </c>
      <c r="E265" s="2" t="str">
        <f>+VLOOKUP(C265,FRAGILIDAD,2,0)</f>
        <v>Nivel 3 (Normal)</v>
      </c>
    </row>
    <row r="266" spans="1:5" ht="16.8" x14ac:dyDescent="0.3">
      <c r="A266" s="3" t="s">
        <v>219</v>
      </c>
      <c r="B266" s="4" t="s">
        <v>84</v>
      </c>
      <c r="C266" s="4">
        <v>3</v>
      </c>
      <c r="D266" s="3" t="s">
        <v>0</v>
      </c>
      <c r="E266" s="2" t="str">
        <f>+VLOOKUP(C266,FRAGILIDAD,2,0)</f>
        <v>Nivel 3 (Normal)</v>
      </c>
    </row>
    <row r="267" spans="1:5" ht="16.8" x14ac:dyDescent="0.3">
      <c r="A267" s="3" t="s">
        <v>218</v>
      </c>
      <c r="B267" s="4" t="s">
        <v>84</v>
      </c>
      <c r="C267" s="4">
        <v>3</v>
      </c>
      <c r="D267" s="3" t="s">
        <v>0</v>
      </c>
      <c r="E267" s="2" t="str">
        <f>+VLOOKUP(C267,FRAGILIDAD,2,0)</f>
        <v>Nivel 3 (Normal)</v>
      </c>
    </row>
    <row r="268" spans="1:5" ht="16.8" x14ac:dyDescent="0.3">
      <c r="A268" s="3" t="s">
        <v>217</v>
      </c>
      <c r="B268" s="4" t="s">
        <v>84</v>
      </c>
      <c r="C268" s="4">
        <v>3</v>
      </c>
      <c r="D268" s="3" t="s">
        <v>0</v>
      </c>
      <c r="E268" s="2" t="str">
        <f>+VLOOKUP(C268,FRAGILIDAD,2,0)</f>
        <v>Nivel 3 (Normal)</v>
      </c>
    </row>
    <row r="269" spans="1:5" ht="16.8" x14ac:dyDescent="0.3">
      <c r="A269" s="3" t="s">
        <v>216</v>
      </c>
      <c r="B269" s="4" t="s">
        <v>84</v>
      </c>
      <c r="C269" s="4">
        <v>3</v>
      </c>
      <c r="D269" s="3" t="s">
        <v>0</v>
      </c>
      <c r="E269" s="2" t="str">
        <f>+VLOOKUP(C269,FRAGILIDAD,2,0)</f>
        <v>Nivel 3 (Normal)</v>
      </c>
    </row>
    <row r="270" spans="1:5" ht="16.8" x14ac:dyDescent="0.3">
      <c r="A270" s="3" t="s">
        <v>215</v>
      </c>
      <c r="B270" s="4" t="s">
        <v>84</v>
      </c>
      <c r="C270" s="4">
        <v>3</v>
      </c>
      <c r="D270" s="3" t="s">
        <v>0</v>
      </c>
      <c r="E270" s="2" t="str">
        <f>+VLOOKUP(C270,FRAGILIDAD,2,0)</f>
        <v>Nivel 3 (Normal)</v>
      </c>
    </row>
    <row r="271" spans="1:5" ht="16.8" x14ac:dyDescent="0.3">
      <c r="A271" s="3" t="s">
        <v>214</v>
      </c>
      <c r="B271" s="4" t="s">
        <v>84</v>
      </c>
      <c r="C271" s="4">
        <v>3</v>
      </c>
      <c r="D271" s="3" t="s">
        <v>0</v>
      </c>
      <c r="E271" s="2" t="str">
        <f>+VLOOKUP(C271,FRAGILIDAD,2,0)</f>
        <v>Nivel 3 (Normal)</v>
      </c>
    </row>
    <row r="272" spans="1:5" ht="16.8" x14ac:dyDescent="0.3">
      <c r="A272" s="3" t="s">
        <v>213</v>
      </c>
      <c r="B272" s="4" t="s">
        <v>84</v>
      </c>
      <c r="C272" s="4">
        <v>3</v>
      </c>
      <c r="D272" s="3" t="s">
        <v>3</v>
      </c>
      <c r="E272" s="2" t="str">
        <f>+VLOOKUP(C272,FRAGILIDAD,2,0)</f>
        <v>Nivel 3 (Normal)</v>
      </c>
    </row>
    <row r="273" spans="1:5" ht="16.8" x14ac:dyDescent="0.3">
      <c r="A273" s="3" t="s">
        <v>212</v>
      </c>
      <c r="B273" s="4" t="s">
        <v>84</v>
      </c>
      <c r="C273" s="4">
        <v>3</v>
      </c>
      <c r="D273" s="3" t="s">
        <v>3</v>
      </c>
      <c r="E273" s="2" t="str">
        <f>+VLOOKUP(C273,FRAGILIDAD,2,0)</f>
        <v>Nivel 3 (Normal)</v>
      </c>
    </row>
    <row r="274" spans="1:5" ht="16.8" x14ac:dyDescent="0.3">
      <c r="A274" s="3" t="s">
        <v>211</v>
      </c>
      <c r="B274" s="4" t="s">
        <v>84</v>
      </c>
      <c r="C274" s="4">
        <v>3</v>
      </c>
      <c r="D274" s="3" t="s">
        <v>3</v>
      </c>
      <c r="E274" s="2" t="str">
        <f>+VLOOKUP(C274,FRAGILIDAD,2,0)</f>
        <v>Nivel 3 (Normal)</v>
      </c>
    </row>
    <row r="275" spans="1:5" ht="16.8" x14ac:dyDescent="0.3">
      <c r="A275" s="3" t="s">
        <v>210</v>
      </c>
      <c r="B275" s="4" t="s">
        <v>84</v>
      </c>
      <c r="C275" s="4">
        <v>3</v>
      </c>
      <c r="D275" s="3" t="s">
        <v>3</v>
      </c>
      <c r="E275" s="2" t="str">
        <f>+VLOOKUP(C275,FRAGILIDAD,2,0)</f>
        <v>Nivel 3 (Normal)</v>
      </c>
    </row>
    <row r="276" spans="1:5" ht="16.8" x14ac:dyDescent="0.3">
      <c r="A276" s="3" t="s">
        <v>209</v>
      </c>
      <c r="B276" s="4" t="s">
        <v>84</v>
      </c>
      <c r="C276" s="4">
        <v>3</v>
      </c>
      <c r="D276" s="3" t="s">
        <v>3</v>
      </c>
      <c r="E276" s="2" t="str">
        <f>+VLOOKUP(C276,FRAGILIDAD,2,0)</f>
        <v>Nivel 3 (Normal)</v>
      </c>
    </row>
    <row r="277" spans="1:5" ht="16.8" x14ac:dyDescent="0.3">
      <c r="A277" s="3" t="s">
        <v>208</v>
      </c>
      <c r="B277" s="4" t="s">
        <v>84</v>
      </c>
      <c r="C277" s="4">
        <v>3</v>
      </c>
      <c r="D277" s="3" t="s">
        <v>3</v>
      </c>
      <c r="E277" s="2" t="str">
        <f>+VLOOKUP(C277,FRAGILIDAD,2,0)</f>
        <v>Nivel 3 (Normal)</v>
      </c>
    </row>
    <row r="278" spans="1:5" ht="16.8" x14ac:dyDescent="0.3">
      <c r="A278" s="3" t="s">
        <v>207</v>
      </c>
      <c r="B278" s="4" t="s">
        <v>84</v>
      </c>
      <c r="C278" s="4">
        <v>2</v>
      </c>
      <c r="D278" s="3" t="s">
        <v>10</v>
      </c>
      <c r="E278" s="2" t="str">
        <f>+VLOOKUP(C278,FRAGILIDAD,2,0)</f>
        <v>Nivel 2 (Frágil)</v>
      </c>
    </row>
    <row r="279" spans="1:5" ht="16.8" x14ac:dyDescent="0.3">
      <c r="A279" s="3" t="s">
        <v>206</v>
      </c>
      <c r="B279" s="4" t="s">
        <v>84</v>
      </c>
      <c r="C279" s="4">
        <v>2</v>
      </c>
      <c r="D279" s="3" t="s">
        <v>10</v>
      </c>
      <c r="E279" s="2" t="str">
        <f>+VLOOKUP(C279,FRAGILIDAD,2,0)</f>
        <v>Nivel 2 (Frágil)</v>
      </c>
    </row>
    <row r="280" spans="1:5" ht="16.8" x14ac:dyDescent="0.3">
      <c r="A280" s="3" t="s">
        <v>205</v>
      </c>
      <c r="B280" s="4" t="s">
        <v>84</v>
      </c>
      <c r="C280" s="4">
        <v>2</v>
      </c>
      <c r="D280" s="3" t="s">
        <v>10</v>
      </c>
      <c r="E280" s="2" t="str">
        <f>+VLOOKUP(C280,FRAGILIDAD,2,0)</f>
        <v>Nivel 2 (Frágil)</v>
      </c>
    </row>
    <row r="281" spans="1:5" ht="16.8" x14ac:dyDescent="0.3">
      <c r="A281" s="3" t="s">
        <v>204</v>
      </c>
      <c r="B281" s="4" t="s">
        <v>84</v>
      </c>
      <c r="C281" s="4">
        <v>2</v>
      </c>
      <c r="D281" s="3" t="s">
        <v>10</v>
      </c>
      <c r="E281" s="2" t="str">
        <f>+VLOOKUP(C281,FRAGILIDAD,2,0)</f>
        <v>Nivel 2 (Frágil)</v>
      </c>
    </row>
    <row r="282" spans="1:5" ht="16.8" x14ac:dyDescent="0.3">
      <c r="A282" s="3" t="s">
        <v>203</v>
      </c>
      <c r="B282" s="4" t="s">
        <v>84</v>
      </c>
      <c r="C282" s="4">
        <v>2</v>
      </c>
      <c r="D282" s="3" t="s">
        <v>10</v>
      </c>
      <c r="E282" s="2" t="str">
        <f>+VLOOKUP(C282,FRAGILIDAD,2,0)</f>
        <v>Nivel 2 (Frágil)</v>
      </c>
    </row>
    <row r="283" spans="1:5" ht="16.8" x14ac:dyDescent="0.3">
      <c r="A283" s="3" t="s">
        <v>202</v>
      </c>
      <c r="B283" s="4" t="s">
        <v>84</v>
      </c>
      <c r="C283" s="4">
        <v>2</v>
      </c>
      <c r="D283" s="3" t="s">
        <v>10</v>
      </c>
      <c r="E283" s="2" t="str">
        <f>+VLOOKUP(C283,FRAGILIDAD,2,0)</f>
        <v>Nivel 2 (Frágil)</v>
      </c>
    </row>
    <row r="284" spans="1:5" ht="16.8" x14ac:dyDescent="0.3">
      <c r="A284" s="3" t="s">
        <v>201</v>
      </c>
      <c r="B284" s="4" t="s">
        <v>84</v>
      </c>
      <c r="C284" s="4">
        <v>2</v>
      </c>
      <c r="D284" s="3" t="s">
        <v>10</v>
      </c>
      <c r="E284" s="2" t="str">
        <f>+VLOOKUP(C284,FRAGILIDAD,2,0)</f>
        <v>Nivel 2 (Frágil)</v>
      </c>
    </row>
    <row r="285" spans="1:5" ht="16.8" x14ac:dyDescent="0.3">
      <c r="A285" s="3" t="s">
        <v>200</v>
      </c>
      <c r="B285" s="4" t="s">
        <v>84</v>
      </c>
      <c r="C285" s="4">
        <v>2</v>
      </c>
      <c r="D285" s="3" t="s">
        <v>10</v>
      </c>
      <c r="E285" s="2" t="str">
        <f>+VLOOKUP(C285,FRAGILIDAD,2,0)</f>
        <v>Nivel 2 (Frágil)</v>
      </c>
    </row>
    <row r="286" spans="1:5" ht="16.8" x14ac:dyDescent="0.3">
      <c r="A286" s="3" t="s">
        <v>199</v>
      </c>
      <c r="B286" s="4" t="s">
        <v>84</v>
      </c>
      <c r="C286" s="4">
        <v>2</v>
      </c>
      <c r="D286" s="3" t="s">
        <v>10</v>
      </c>
      <c r="E286" s="2" t="str">
        <f>+VLOOKUP(C286,FRAGILIDAD,2,0)</f>
        <v>Nivel 2 (Frágil)</v>
      </c>
    </row>
    <row r="287" spans="1:5" ht="16.8" x14ac:dyDescent="0.3">
      <c r="A287" s="3" t="s">
        <v>198</v>
      </c>
      <c r="B287" s="4" t="s">
        <v>84</v>
      </c>
      <c r="C287" s="4">
        <v>2</v>
      </c>
      <c r="D287" s="3" t="s">
        <v>10</v>
      </c>
      <c r="E287" s="2" t="str">
        <f>+VLOOKUP(C287,FRAGILIDAD,2,0)</f>
        <v>Nivel 2 (Frágil)</v>
      </c>
    </row>
    <row r="288" spans="1:5" ht="16.8" x14ac:dyDescent="0.3">
      <c r="A288" s="3" t="s">
        <v>197</v>
      </c>
      <c r="B288" s="4" t="s">
        <v>84</v>
      </c>
      <c r="C288" s="4">
        <v>2</v>
      </c>
      <c r="D288" s="3" t="s">
        <v>10</v>
      </c>
      <c r="E288" s="2" t="str">
        <f>+VLOOKUP(C288,FRAGILIDAD,2,0)</f>
        <v>Nivel 2 (Frágil)</v>
      </c>
    </row>
    <row r="289" spans="1:5" ht="16.8" x14ac:dyDescent="0.3">
      <c r="A289" s="3" t="s">
        <v>196</v>
      </c>
      <c r="B289" s="4" t="s">
        <v>84</v>
      </c>
      <c r="C289" s="4">
        <v>2</v>
      </c>
      <c r="D289" s="3" t="s">
        <v>10</v>
      </c>
      <c r="E289" s="2" t="str">
        <f>+VLOOKUP(C289,FRAGILIDAD,2,0)</f>
        <v>Nivel 2 (Frágil)</v>
      </c>
    </row>
    <row r="290" spans="1:5" ht="16.8" x14ac:dyDescent="0.3">
      <c r="A290" s="3" t="s">
        <v>195</v>
      </c>
      <c r="B290" s="4" t="s">
        <v>84</v>
      </c>
      <c r="C290" s="4">
        <v>2</v>
      </c>
      <c r="D290" s="3" t="s">
        <v>10</v>
      </c>
      <c r="E290" s="2" t="str">
        <f>+VLOOKUP(C290,FRAGILIDAD,2,0)</f>
        <v>Nivel 2 (Frágil)</v>
      </c>
    </row>
    <row r="291" spans="1:5" ht="16.8" x14ac:dyDescent="0.3">
      <c r="A291" s="3" t="s">
        <v>194</v>
      </c>
      <c r="B291" s="4" t="s">
        <v>84</v>
      </c>
      <c r="C291" s="4">
        <v>2</v>
      </c>
      <c r="D291" s="3" t="s">
        <v>10</v>
      </c>
      <c r="E291" s="2" t="str">
        <f>+VLOOKUP(C291,FRAGILIDAD,2,0)</f>
        <v>Nivel 2 (Frágil)</v>
      </c>
    </row>
    <row r="292" spans="1:5" ht="16.8" x14ac:dyDescent="0.3">
      <c r="A292" s="3" t="s">
        <v>193</v>
      </c>
      <c r="B292" s="4" t="s">
        <v>84</v>
      </c>
      <c r="C292" s="4">
        <v>2</v>
      </c>
      <c r="D292" s="3" t="s">
        <v>10</v>
      </c>
      <c r="E292" s="2" t="str">
        <f>+VLOOKUP(C292,FRAGILIDAD,2,0)</f>
        <v>Nivel 2 (Frágil)</v>
      </c>
    </row>
    <row r="293" spans="1:5" ht="16.8" x14ac:dyDescent="0.3">
      <c r="A293" s="3" t="s">
        <v>192</v>
      </c>
      <c r="B293" s="4" t="s">
        <v>84</v>
      </c>
      <c r="C293" s="4">
        <v>2</v>
      </c>
      <c r="D293" s="3" t="s">
        <v>10</v>
      </c>
      <c r="E293" s="2" t="str">
        <f>+VLOOKUP(C293,FRAGILIDAD,2,0)</f>
        <v>Nivel 2 (Frágil)</v>
      </c>
    </row>
    <row r="294" spans="1:5" ht="16.8" x14ac:dyDescent="0.3">
      <c r="A294" s="3" t="s">
        <v>191</v>
      </c>
      <c r="B294" s="4" t="s">
        <v>84</v>
      </c>
      <c r="C294" s="4">
        <v>3</v>
      </c>
      <c r="D294" s="3" t="s">
        <v>3</v>
      </c>
      <c r="E294" s="2" t="str">
        <f>+VLOOKUP(C294,FRAGILIDAD,2,0)</f>
        <v>Nivel 3 (Normal)</v>
      </c>
    </row>
    <row r="295" spans="1:5" ht="16.8" x14ac:dyDescent="0.3">
      <c r="A295" s="3" t="s">
        <v>190</v>
      </c>
      <c r="B295" s="4" t="s">
        <v>84</v>
      </c>
      <c r="C295" s="4">
        <v>3</v>
      </c>
      <c r="D295" s="3" t="s">
        <v>3</v>
      </c>
      <c r="E295" s="2" t="str">
        <f>+VLOOKUP(C295,FRAGILIDAD,2,0)</f>
        <v>Nivel 3 (Normal)</v>
      </c>
    </row>
    <row r="296" spans="1:5" ht="16.8" x14ac:dyDescent="0.3">
      <c r="A296" s="3" t="s">
        <v>189</v>
      </c>
      <c r="B296" s="4" t="s">
        <v>84</v>
      </c>
      <c r="C296" s="4">
        <v>3</v>
      </c>
      <c r="D296" s="3" t="s">
        <v>3</v>
      </c>
      <c r="E296" s="2" t="str">
        <f>+VLOOKUP(C296,FRAGILIDAD,2,0)</f>
        <v>Nivel 3 (Normal)</v>
      </c>
    </row>
    <row r="297" spans="1:5" ht="16.8" x14ac:dyDescent="0.3">
      <c r="A297" s="3" t="s">
        <v>188</v>
      </c>
      <c r="B297" s="4" t="s">
        <v>84</v>
      </c>
      <c r="C297" s="4">
        <v>3</v>
      </c>
      <c r="D297" s="3" t="s">
        <v>0</v>
      </c>
      <c r="E297" s="2" t="str">
        <f>+VLOOKUP(C297,FRAGILIDAD,2,0)</f>
        <v>Nivel 3 (Normal)</v>
      </c>
    </row>
    <row r="298" spans="1:5" ht="16.8" x14ac:dyDescent="0.3">
      <c r="A298" s="3" t="s">
        <v>187</v>
      </c>
      <c r="B298" s="4" t="s">
        <v>84</v>
      </c>
      <c r="C298" s="4">
        <v>3</v>
      </c>
      <c r="D298" s="3" t="s">
        <v>0</v>
      </c>
      <c r="E298" s="2" t="str">
        <f>+VLOOKUP(C298,FRAGILIDAD,2,0)</f>
        <v>Nivel 3 (Normal)</v>
      </c>
    </row>
    <row r="299" spans="1:5" ht="16.8" x14ac:dyDescent="0.3">
      <c r="A299" s="3" t="s">
        <v>186</v>
      </c>
      <c r="B299" s="4" t="s">
        <v>84</v>
      </c>
      <c r="C299" s="4">
        <v>3</v>
      </c>
      <c r="D299" s="3" t="s">
        <v>0</v>
      </c>
      <c r="E299" s="2" t="str">
        <f>+VLOOKUP(C299,FRAGILIDAD,2,0)</f>
        <v>Nivel 3 (Normal)</v>
      </c>
    </row>
    <row r="300" spans="1:5" ht="16.8" x14ac:dyDescent="0.3">
      <c r="A300" s="3" t="s">
        <v>185</v>
      </c>
      <c r="B300" s="4" t="s">
        <v>84</v>
      </c>
      <c r="C300" s="4">
        <v>3</v>
      </c>
      <c r="D300" s="3" t="s">
        <v>0</v>
      </c>
      <c r="E300" s="2" t="str">
        <f>+VLOOKUP(C300,FRAGILIDAD,2,0)</f>
        <v>Nivel 3 (Normal)</v>
      </c>
    </row>
    <row r="301" spans="1:5" ht="16.8" x14ac:dyDescent="0.3">
      <c r="A301" s="3" t="s">
        <v>184</v>
      </c>
      <c r="B301" s="4" t="s">
        <v>84</v>
      </c>
      <c r="C301" s="4">
        <v>3</v>
      </c>
      <c r="D301" s="3" t="s">
        <v>0</v>
      </c>
      <c r="E301" s="2" t="str">
        <f>+VLOOKUP(C301,FRAGILIDAD,2,0)</f>
        <v>Nivel 3 (Normal)</v>
      </c>
    </row>
    <row r="302" spans="1:5" ht="16.8" x14ac:dyDescent="0.3">
      <c r="A302" s="3" t="s">
        <v>183</v>
      </c>
      <c r="B302" s="4" t="s">
        <v>84</v>
      </c>
      <c r="C302" s="4">
        <v>4</v>
      </c>
      <c r="D302" s="3" t="s">
        <v>83</v>
      </c>
      <c r="E302" s="2" t="str">
        <f>+VLOOKUP(C302,FRAGILIDAD,2,0)</f>
        <v>Nivel 4 (Muy Resistente)</v>
      </c>
    </row>
    <row r="303" spans="1:5" ht="16.8" x14ac:dyDescent="0.3">
      <c r="A303" s="3" t="s">
        <v>182</v>
      </c>
      <c r="B303" s="4" t="s">
        <v>84</v>
      </c>
      <c r="C303" s="4">
        <v>5</v>
      </c>
      <c r="D303" s="3" t="s">
        <v>86</v>
      </c>
      <c r="E303" s="2" t="str">
        <f>+VLOOKUP(C303,FRAGILIDAD,2,0)</f>
        <v>Nivel 5 (Ultra Resistente)</v>
      </c>
    </row>
    <row r="304" spans="1:5" ht="16.8" x14ac:dyDescent="0.3">
      <c r="A304" s="3" t="s">
        <v>181</v>
      </c>
      <c r="B304" s="4" t="s">
        <v>84</v>
      </c>
      <c r="C304" s="4">
        <v>3</v>
      </c>
      <c r="D304" s="3" t="s">
        <v>0</v>
      </c>
      <c r="E304" s="2" t="str">
        <f>+VLOOKUP(C304,FRAGILIDAD,2,0)</f>
        <v>Nivel 3 (Normal)</v>
      </c>
    </row>
    <row r="305" spans="1:5" ht="16.8" x14ac:dyDescent="0.3">
      <c r="A305" s="3" t="s">
        <v>180</v>
      </c>
      <c r="B305" s="4" t="s">
        <v>84</v>
      </c>
      <c r="C305" s="4">
        <v>4</v>
      </c>
      <c r="D305" s="3" t="s">
        <v>83</v>
      </c>
      <c r="E305" s="2" t="str">
        <f>+VLOOKUP(C305,FRAGILIDAD,2,0)</f>
        <v>Nivel 4 (Muy Resistente)</v>
      </c>
    </row>
    <row r="306" spans="1:5" ht="16.8" x14ac:dyDescent="0.3">
      <c r="A306" s="3" t="s">
        <v>179</v>
      </c>
      <c r="B306" s="4" t="s">
        <v>84</v>
      </c>
      <c r="C306" s="4">
        <v>4</v>
      </c>
      <c r="D306" s="3" t="s">
        <v>83</v>
      </c>
      <c r="E306" s="2" t="str">
        <f>+VLOOKUP(C306,FRAGILIDAD,2,0)</f>
        <v>Nivel 4 (Muy Resistente)</v>
      </c>
    </row>
    <row r="307" spans="1:5" ht="16.8" x14ac:dyDescent="0.3">
      <c r="A307" s="3" t="s">
        <v>178</v>
      </c>
      <c r="B307" s="4" t="s">
        <v>84</v>
      </c>
      <c r="C307" s="4">
        <v>4</v>
      </c>
      <c r="D307" s="3" t="s">
        <v>83</v>
      </c>
      <c r="E307" s="2" t="str">
        <f>+VLOOKUP(C307,FRAGILIDAD,2,0)</f>
        <v>Nivel 4 (Muy Resistente)</v>
      </c>
    </row>
    <row r="308" spans="1:5" ht="16.8" x14ac:dyDescent="0.3">
      <c r="A308" s="3" t="s">
        <v>177</v>
      </c>
      <c r="B308" s="4" t="s">
        <v>84</v>
      </c>
      <c r="C308" s="4">
        <v>4</v>
      </c>
      <c r="D308" s="3" t="s">
        <v>83</v>
      </c>
      <c r="E308" s="2" t="str">
        <f>+VLOOKUP(C308,FRAGILIDAD,2,0)</f>
        <v>Nivel 4 (Muy Resistente)</v>
      </c>
    </row>
    <row r="309" spans="1:5" ht="16.8" x14ac:dyDescent="0.3">
      <c r="A309" s="3" t="s">
        <v>176</v>
      </c>
      <c r="B309" s="4" t="s">
        <v>84</v>
      </c>
      <c r="C309" s="4">
        <v>4</v>
      </c>
      <c r="D309" s="3" t="s">
        <v>83</v>
      </c>
      <c r="E309" s="2" t="str">
        <f>+VLOOKUP(C309,FRAGILIDAD,2,0)</f>
        <v>Nivel 4 (Muy Resistente)</v>
      </c>
    </row>
    <row r="310" spans="1:5" ht="16.8" x14ac:dyDescent="0.3">
      <c r="A310" s="3" t="s">
        <v>175</v>
      </c>
      <c r="B310" s="4" t="s">
        <v>84</v>
      </c>
      <c r="C310" s="4">
        <v>4</v>
      </c>
      <c r="D310" s="3" t="s">
        <v>83</v>
      </c>
      <c r="E310" s="2" t="str">
        <f>+VLOOKUP(C310,FRAGILIDAD,2,0)</f>
        <v>Nivel 4 (Muy Resistente)</v>
      </c>
    </row>
    <row r="311" spans="1:5" ht="16.8" x14ac:dyDescent="0.3">
      <c r="A311" s="3" t="s">
        <v>174</v>
      </c>
      <c r="B311" s="4" t="s">
        <v>84</v>
      </c>
      <c r="C311" s="4">
        <v>3</v>
      </c>
      <c r="D311" s="3" t="s">
        <v>3</v>
      </c>
      <c r="E311" s="2" t="str">
        <f>+VLOOKUP(C311,FRAGILIDAD,2,0)</f>
        <v>Nivel 3 (Normal)</v>
      </c>
    </row>
    <row r="312" spans="1:5" ht="16.8" x14ac:dyDescent="0.3">
      <c r="A312" s="3" t="s">
        <v>173</v>
      </c>
      <c r="B312" s="4" t="s">
        <v>84</v>
      </c>
      <c r="C312" s="4">
        <v>3</v>
      </c>
      <c r="D312" s="3" t="s">
        <v>3</v>
      </c>
      <c r="E312" s="2" t="str">
        <f>+VLOOKUP(C312,FRAGILIDAD,2,0)</f>
        <v>Nivel 3 (Normal)</v>
      </c>
    </row>
    <row r="313" spans="1:5" ht="16.8" x14ac:dyDescent="0.3">
      <c r="A313" s="3" t="s">
        <v>172</v>
      </c>
      <c r="B313" s="4" t="s">
        <v>84</v>
      </c>
      <c r="C313" s="4">
        <v>3</v>
      </c>
      <c r="D313" s="3" t="s">
        <v>0</v>
      </c>
      <c r="E313" s="2" t="str">
        <f>+VLOOKUP(C313,FRAGILIDAD,2,0)</f>
        <v>Nivel 3 (Normal)</v>
      </c>
    </row>
    <row r="314" spans="1:5" ht="16.8" x14ac:dyDescent="0.3">
      <c r="A314" s="3" t="s">
        <v>171</v>
      </c>
      <c r="B314" s="4" t="s">
        <v>84</v>
      </c>
      <c r="C314" s="4">
        <v>3</v>
      </c>
      <c r="D314" s="3" t="s">
        <v>0</v>
      </c>
      <c r="E314" s="2" t="str">
        <f>+VLOOKUP(C314,FRAGILIDAD,2,0)</f>
        <v>Nivel 3 (Normal)</v>
      </c>
    </row>
    <row r="315" spans="1:5" ht="16.8" x14ac:dyDescent="0.3">
      <c r="A315" s="3" t="s">
        <v>170</v>
      </c>
      <c r="B315" s="4" t="s">
        <v>84</v>
      </c>
      <c r="C315" s="4">
        <v>3</v>
      </c>
      <c r="D315" s="3" t="s">
        <v>0</v>
      </c>
      <c r="E315" s="2" t="str">
        <f>+VLOOKUP(C315,FRAGILIDAD,2,0)</f>
        <v>Nivel 3 (Normal)</v>
      </c>
    </row>
    <row r="316" spans="1:5" ht="16.8" x14ac:dyDescent="0.3">
      <c r="A316" s="3" t="s">
        <v>169</v>
      </c>
      <c r="B316" s="4" t="s">
        <v>84</v>
      </c>
      <c r="C316" s="4">
        <v>3</v>
      </c>
      <c r="D316" s="3" t="s">
        <v>0</v>
      </c>
      <c r="E316" s="2" t="str">
        <f>+VLOOKUP(C316,FRAGILIDAD,2,0)</f>
        <v>Nivel 3 (Normal)</v>
      </c>
    </row>
    <row r="317" spans="1:5" ht="16.8" x14ac:dyDescent="0.3">
      <c r="A317" s="3" t="s">
        <v>168</v>
      </c>
      <c r="B317" s="4" t="s">
        <v>84</v>
      </c>
      <c r="C317" s="4">
        <v>3</v>
      </c>
      <c r="D317" s="3" t="s">
        <v>0</v>
      </c>
      <c r="E317" s="2" t="str">
        <f>+VLOOKUP(C317,FRAGILIDAD,2,0)</f>
        <v>Nivel 3 (Normal)</v>
      </c>
    </row>
    <row r="318" spans="1:5" ht="16.8" x14ac:dyDescent="0.3">
      <c r="A318" s="3" t="s">
        <v>167</v>
      </c>
      <c r="B318" s="4" t="s">
        <v>84</v>
      </c>
      <c r="C318" s="4">
        <v>3</v>
      </c>
      <c r="D318" s="3" t="s">
        <v>0</v>
      </c>
      <c r="E318" s="2" t="str">
        <f>+VLOOKUP(C318,FRAGILIDAD,2,0)</f>
        <v>Nivel 3 (Normal)</v>
      </c>
    </row>
    <row r="319" spans="1:5" ht="16.8" x14ac:dyDescent="0.3">
      <c r="A319" s="3" t="s">
        <v>166</v>
      </c>
      <c r="B319" s="4" t="s">
        <v>84</v>
      </c>
      <c r="C319" s="4">
        <v>3</v>
      </c>
      <c r="D319" s="3" t="s">
        <v>3</v>
      </c>
      <c r="E319" s="2" t="str">
        <f>+VLOOKUP(C319,FRAGILIDAD,2,0)</f>
        <v>Nivel 3 (Normal)</v>
      </c>
    </row>
    <row r="320" spans="1:5" ht="16.8" x14ac:dyDescent="0.3">
      <c r="A320" s="3" t="s">
        <v>165</v>
      </c>
      <c r="B320" s="4" t="s">
        <v>84</v>
      </c>
      <c r="C320" s="4">
        <v>2</v>
      </c>
      <c r="D320" s="3" t="s">
        <v>10</v>
      </c>
      <c r="E320" s="2" t="str">
        <f>+VLOOKUP(C320,FRAGILIDAD,2,0)</f>
        <v>Nivel 2 (Frágil)</v>
      </c>
    </row>
    <row r="321" spans="1:5" ht="16.8" x14ac:dyDescent="0.3">
      <c r="A321" s="3" t="s">
        <v>164</v>
      </c>
      <c r="B321" s="4" t="s">
        <v>84</v>
      </c>
      <c r="C321" s="4">
        <v>2</v>
      </c>
      <c r="D321" s="3" t="s">
        <v>10</v>
      </c>
      <c r="E321" s="2" t="str">
        <f>+VLOOKUP(C321,FRAGILIDAD,2,0)</f>
        <v>Nivel 2 (Frágil)</v>
      </c>
    </row>
    <row r="322" spans="1:5" ht="16.8" x14ac:dyDescent="0.3">
      <c r="A322" s="3" t="s">
        <v>163</v>
      </c>
      <c r="B322" s="4" t="s">
        <v>84</v>
      </c>
      <c r="C322" s="4">
        <v>2</v>
      </c>
      <c r="D322" s="3" t="s">
        <v>10</v>
      </c>
      <c r="E322" s="2" t="str">
        <f>+VLOOKUP(C322,FRAGILIDAD,2,0)</f>
        <v>Nivel 2 (Frágil)</v>
      </c>
    </row>
    <row r="323" spans="1:5" ht="16.8" x14ac:dyDescent="0.3">
      <c r="A323" s="3" t="s">
        <v>162</v>
      </c>
      <c r="B323" s="4" t="s">
        <v>84</v>
      </c>
      <c r="C323" s="4">
        <v>3</v>
      </c>
      <c r="D323" s="3" t="s">
        <v>3</v>
      </c>
      <c r="E323" s="2" t="str">
        <f>+VLOOKUP(C323,FRAGILIDAD,2,0)</f>
        <v>Nivel 3 (Normal)</v>
      </c>
    </row>
    <row r="324" spans="1:5" ht="16.8" x14ac:dyDescent="0.3">
      <c r="A324" s="3" t="s">
        <v>161</v>
      </c>
      <c r="B324" s="4" t="s">
        <v>84</v>
      </c>
      <c r="C324" s="4">
        <v>3</v>
      </c>
      <c r="D324" s="3" t="s">
        <v>3</v>
      </c>
      <c r="E324" s="2" t="str">
        <f>+VLOOKUP(C324,FRAGILIDAD,2,0)</f>
        <v>Nivel 3 (Normal)</v>
      </c>
    </row>
    <row r="325" spans="1:5" ht="16.8" x14ac:dyDescent="0.3">
      <c r="A325" s="3" t="s">
        <v>160</v>
      </c>
      <c r="B325" s="4" t="s">
        <v>84</v>
      </c>
      <c r="C325" s="4">
        <v>3</v>
      </c>
      <c r="D325" s="3" t="s">
        <v>3</v>
      </c>
      <c r="E325" s="2" t="str">
        <f>+VLOOKUP(C325,FRAGILIDAD,2,0)</f>
        <v>Nivel 3 (Normal)</v>
      </c>
    </row>
    <row r="326" spans="1:5" ht="16.8" x14ac:dyDescent="0.3">
      <c r="A326" s="3" t="s">
        <v>159</v>
      </c>
      <c r="B326" s="4" t="s">
        <v>84</v>
      </c>
      <c r="C326" s="4">
        <v>5</v>
      </c>
      <c r="D326" s="3" t="s">
        <v>86</v>
      </c>
      <c r="E326" s="2" t="str">
        <f>+VLOOKUP(C326,FRAGILIDAD,2,0)</f>
        <v>Nivel 5 (Ultra Resistente)</v>
      </c>
    </row>
    <row r="327" spans="1:5" ht="16.8" x14ac:dyDescent="0.3">
      <c r="A327" s="3" t="s">
        <v>158</v>
      </c>
      <c r="B327" s="4" t="s">
        <v>84</v>
      </c>
      <c r="C327" s="4">
        <v>5</v>
      </c>
      <c r="D327" s="3" t="s">
        <v>86</v>
      </c>
      <c r="E327" s="2" t="str">
        <f>+VLOOKUP(C327,FRAGILIDAD,2,0)</f>
        <v>Nivel 5 (Ultra Resistente)</v>
      </c>
    </row>
    <row r="328" spans="1:5" ht="16.8" x14ac:dyDescent="0.3">
      <c r="A328" s="3" t="s">
        <v>157</v>
      </c>
      <c r="B328" s="4" t="s">
        <v>84</v>
      </c>
      <c r="C328" s="4">
        <v>5</v>
      </c>
      <c r="D328" s="3" t="s">
        <v>86</v>
      </c>
      <c r="E328" s="2" t="str">
        <f>+VLOOKUP(C328,FRAGILIDAD,2,0)</f>
        <v>Nivel 5 (Ultra Resistente)</v>
      </c>
    </row>
    <row r="329" spans="1:5" ht="16.8" x14ac:dyDescent="0.3">
      <c r="A329" s="3" t="s">
        <v>156</v>
      </c>
      <c r="B329" s="4" t="s">
        <v>84</v>
      </c>
      <c r="C329" s="4">
        <v>3</v>
      </c>
      <c r="D329" s="3" t="s">
        <v>3</v>
      </c>
      <c r="E329" s="2" t="str">
        <f>+VLOOKUP(C329,FRAGILIDAD,2,0)</f>
        <v>Nivel 3 (Normal)</v>
      </c>
    </row>
    <row r="330" spans="1:5" ht="16.8" x14ac:dyDescent="0.3">
      <c r="A330" s="3" t="s">
        <v>155</v>
      </c>
      <c r="B330" s="4" t="s">
        <v>84</v>
      </c>
      <c r="C330" s="4">
        <v>3</v>
      </c>
      <c r="D330" s="3" t="s">
        <v>3</v>
      </c>
      <c r="E330" s="2" t="str">
        <f>+VLOOKUP(C330,FRAGILIDAD,2,0)</f>
        <v>Nivel 3 (Normal)</v>
      </c>
    </row>
    <row r="331" spans="1:5" ht="16.8" x14ac:dyDescent="0.3">
      <c r="A331" s="3" t="s">
        <v>154</v>
      </c>
      <c r="B331" s="4" t="s">
        <v>84</v>
      </c>
      <c r="C331" s="4">
        <v>5</v>
      </c>
      <c r="D331" s="3" t="s">
        <v>86</v>
      </c>
      <c r="E331" s="2" t="str">
        <f>+VLOOKUP(C331,FRAGILIDAD,2,0)</f>
        <v>Nivel 5 (Ultra Resistente)</v>
      </c>
    </row>
    <row r="332" spans="1:5" ht="16.8" x14ac:dyDescent="0.3">
      <c r="A332" s="3" t="s">
        <v>153</v>
      </c>
      <c r="B332" s="4" t="s">
        <v>84</v>
      </c>
      <c r="C332" s="4">
        <v>5</v>
      </c>
      <c r="D332" s="3" t="s">
        <v>86</v>
      </c>
      <c r="E332" s="2" t="str">
        <f>+VLOOKUP(C332,FRAGILIDAD,2,0)</f>
        <v>Nivel 5 (Ultra Resistente)</v>
      </c>
    </row>
    <row r="333" spans="1:5" ht="16.8" x14ac:dyDescent="0.3">
      <c r="A333" s="3" t="s">
        <v>152</v>
      </c>
      <c r="B333" s="4" t="s">
        <v>84</v>
      </c>
      <c r="C333" s="4">
        <v>3</v>
      </c>
      <c r="D333" s="3" t="s">
        <v>3</v>
      </c>
      <c r="E333" s="2" t="str">
        <f>+VLOOKUP(C333,FRAGILIDAD,2,0)</f>
        <v>Nivel 3 (Normal)</v>
      </c>
    </row>
    <row r="334" spans="1:5" ht="16.8" x14ac:dyDescent="0.3">
      <c r="A334" s="3" t="s">
        <v>151</v>
      </c>
      <c r="B334" s="4" t="s">
        <v>84</v>
      </c>
      <c r="C334" s="4">
        <v>3</v>
      </c>
      <c r="D334" s="3" t="s">
        <v>3</v>
      </c>
      <c r="E334" s="2" t="str">
        <f>+VLOOKUP(C334,FRAGILIDAD,2,0)</f>
        <v>Nivel 3 (Normal)</v>
      </c>
    </row>
    <row r="335" spans="1:5" ht="16.8" x14ac:dyDescent="0.3">
      <c r="A335" s="3" t="s">
        <v>150</v>
      </c>
      <c r="B335" s="4" t="s">
        <v>84</v>
      </c>
      <c r="C335" s="4">
        <v>3</v>
      </c>
      <c r="D335" s="3" t="s">
        <v>3</v>
      </c>
      <c r="E335" s="2" t="str">
        <f>+VLOOKUP(C335,FRAGILIDAD,2,0)</f>
        <v>Nivel 3 (Normal)</v>
      </c>
    </row>
    <row r="336" spans="1:5" ht="16.8" x14ac:dyDescent="0.3">
      <c r="A336" s="3" t="s">
        <v>149</v>
      </c>
      <c r="B336" s="4" t="s">
        <v>84</v>
      </c>
      <c r="C336" s="4">
        <v>2</v>
      </c>
      <c r="D336" s="3" t="s">
        <v>10</v>
      </c>
      <c r="E336" s="2" t="str">
        <f>+VLOOKUP(C336,FRAGILIDAD,2,0)</f>
        <v>Nivel 2 (Frágil)</v>
      </c>
    </row>
    <row r="337" spans="1:5" ht="16.8" x14ac:dyDescent="0.3">
      <c r="A337" s="3" t="s">
        <v>148</v>
      </c>
      <c r="B337" s="4" t="s">
        <v>84</v>
      </c>
      <c r="C337" s="4">
        <v>4</v>
      </c>
      <c r="D337" s="3" t="s">
        <v>83</v>
      </c>
      <c r="E337" s="2" t="str">
        <f>+VLOOKUP(C337,FRAGILIDAD,2,0)</f>
        <v>Nivel 4 (Muy Resistente)</v>
      </c>
    </row>
    <row r="338" spans="1:5" ht="16.8" x14ac:dyDescent="0.3">
      <c r="A338" s="3" t="s">
        <v>147</v>
      </c>
      <c r="B338" s="4" t="s">
        <v>84</v>
      </c>
      <c r="C338" s="4">
        <v>2</v>
      </c>
      <c r="D338" s="3" t="s">
        <v>10</v>
      </c>
      <c r="E338" s="2" t="str">
        <f>+VLOOKUP(C338,FRAGILIDAD,2,0)</f>
        <v>Nivel 2 (Frágil)</v>
      </c>
    </row>
    <row r="339" spans="1:5" ht="16.8" x14ac:dyDescent="0.3">
      <c r="A339" s="3" t="s">
        <v>146</v>
      </c>
      <c r="B339" s="4" t="s">
        <v>84</v>
      </c>
      <c r="C339" s="4">
        <v>2</v>
      </c>
      <c r="D339" s="3" t="s">
        <v>10</v>
      </c>
      <c r="E339" s="2" t="str">
        <f>+VLOOKUP(C339,FRAGILIDAD,2,0)</f>
        <v>Nivel 2 (Frágil)</v>
      </c>
    </row>
    <row r="340" spans="1:5" ht="16.8" x14ac:dyDescent="0.3">
      <c r="A340" s="3" t="s">
        <v>145</v>
      </c>
      <c r="B340" s="4" t="s">
        <v>84</v>
      </c>
      <c r="C340" s="4">
        <v>4</v>
      </c>
      <c r="D340" s="3" t="s">
        <v>83</v>
      </c>
      <c r="E340" s="2" t="str">
        <f>+VLOOKUP(C340,FRAGILIDAD,2,0)</f>
        <v>Nivel 4 (Muy Resistente)</v>
      </c>
    </row>
    <row r="341" spans="1:5" ht="16.8" x14ac:dyDescent="0.3">
      <c r="A341" s="3" t="s">
        <v>144</v>
      </c>
      <c r="B341" s="4" t="s">
        <v>84</v>
      </c>
      <c r="C341" s="4">
        <v>2</v>
      </c>
      <c r="D341" s="3" t="s">
        <v>10</v>
      </c>
      <c r="E341" s="2" t="str">
        <f>+VLOOKUP(C341,FRAGILIDAD,2,0)</f>
        <v>Nivel 2 (Frágil)</v>
      </c>
    </row>
    <row r="342" spans="1:5" ht="16.8" x14ac:dyDescent="0.3">
      <c r="A342" s="3" t="s">
        <v>143</v>
      </c>
      <c r="B342" s="4" t="s">
        <v>84</v>
      </c>
      <c r="C342" s="4">
        <v>2</v>
      </c>
      <c r="D342" s="3" t="s">
        <v>10</v>
      </c>
      <c r="E342" s="2" t="str">
        <f>+VLOOKUP(C342,FRAGILIDAD,2,0)</f>
        <v>Nivel 2 (Frágil)</v>
      </c>
    </row>
    <row r="343" spans="1:5" ht="16.8" x14ac:dyDescent="0.3">
      <c r="A343" s="3" t="s">
        <v>142</v>
      </c>
      <c r="B343" s="4" t="s">
        <v>84</v>
      </c>
      <c r="C343" s="4">
        <v>2</v>
      </c>
      <c r="D343" s="3" t="s">
        <v>10</v>
      </c>
      <c r="E343" s="2" t="str">
        <f>+VLOOKUP(C343,FRAGILIDAD,2,0)</f>
        <v>Nivel 2 (Frágil)</v>
      </c>
    </row>
    <row r="344" spans="1:5" ht="16.8" x14ac:dyDescent="0.3">
      <c r="A344" s="3" t="s">
        <v>141</v>
      </c>
      <c r="B344" s="4" t="s">
        <v>84</v>
      </c>
      <c r="C344" s="4">
        <v>2</v>
      </c>
      <c r="D344" s="3" t="s">
        <v>10</v>
      </c>
      <c r="E344" s="2" t="str">
        <f>+VLOOKUP(C344,FRAGILIDAD,2,0)</f>
        <v>Nivel 2 (Frágil)</v>
      </c>
    </row>
    <row r="345" spans="1:5" ht="16.8" x14ac:dyDescent="0.3">
      <c r="A345" s="3" t="s">
        <v>140</v>
      </c>
      <c r="B345" s="4" t="s">
        <v>84</v>
      </c>
      <c r="C345" s="4">
        <v>2</v>
      </c>
      <c r="D345" s="3" t="s">
        <v>10</v>
      </c>
      <c r="E345" s="2" t="str">
        <f>+VLOOKUP(C345,FRAGILIDAD,2,0)</f>
        <v>Nivel 2 (Frágil)</v>
      </c>
    </row>
    <row r="346" spans="1:5" ht="16.8" x14ac:dyDescent="0.3">
      <c r="A346" s="3" t="s">
        <v>139</v>
      </c>
      <c r="B346" s="4" t="s">
        <v>84</v>
      </c>
      <c r="C346" s="4">
        <v>2</v>
      </c>
      <c r="D346" s="3" t="s">
        <v>10</v>
      </c>
      <c r="E346" s="2" t="str">
        <f>+VLOOKUP(C346,FRAGILIDAD,2,0)</f>
        <v>Nivel 2 (Frágil)</v>
      </c>
    </row>
    <row r="347" spans="1:5" ht="16.8" x14ac:dyDescent="0.3">
      <c r="A347" s="3" t="s">
        <v>138</v>
      </c>
      <c r="B347" s="4" t="s">
        <v>84</v>
      </c>
      <c r="C347" s="4">
        <v>2</v>
      </c>
      <c r="D347" s="3" t="s">
        <v>10</v>
      </c>
      <c r="E347" s="2" t="str">
        <f>+VLOOKUP(C347,FRAGILIDAD,2,0)</f>
        <v>Nivel 2 (Frágil)</v>
      </c>
    </row>
    <row r="348" spans="1:5" ht="16.8" x14ac:dyDescent="0.3">
      <c r="A348" s="3" t="s">
        <v>137</v>
      </c>
      <c r="B348" s="4" t="s">
        <v>84</v>
      </c>
      <c r="C348" s="4">
        <v>3</v>
      </c>
      <c r="D348" s="3" t="s">
        <v>3</v>
      </c>
      <c r="E348" s="2" t="str">
        <f>+VLOOKUP(C348,FRAGILIDAD,2,0)</f>
        <v>Nivel 3 (Normal)</v>
      </c>
    </row>
    <row r="349" spans="1:5" ht="16.8" x14ac:dyDescent="0.3">
      <c r="A349" s="3" t="s">
        <v>136</v>
      </c>
      <c r="B349" s="4" t="s">
        <v>84</v>
      </c>
      <c r="C349" s="4">
        <v>3</v>
      </c>
      <c r="D349" s="3" t="s">
        <v>3</v>
      </c>
      <c r="E349" s="2" t="str">
        <f>+VLOOKUP(C349,FRAGILIDAD,2,0)</f>
        <v>Nivel 3 (Normal)</v>
      </c>
    </row>
    <row r="350" spans="1:5" ht="16.8" x14ac:dyDescent="0.3">
      <c r="A350" s="3" t="s">
        <v>135</v>
      </c>
      <c r="B350" s="4" t="s">
        <v>84</v>
      </c>
      <c r="C350" s="4">
        <v>3</v>
      </c>
      <c r="D350" s="3" t="s">
        <v>3</v>
      </c>
      <c r="E350" s="2" t="str">
        <f>+VLOOKUP(C350,FRAGILIDAD,2,0)</f>
        <v>Nivel 3 (Normal)</v>
      </c>
    </row>
    <row r="351" spans="1:5" ht="16.8" x14ac:dyDescent="0.3">
      <c r="A351" s="3" t="s">
        <v>134</v>
      </c>
      <c r="B351" s="4" t="s">
        <v>84</v>
      </c>
      <c r="C351" s="4">
        <v>2</v>
      </c>
      <c r="D351" s="3" t="s">
        <v>10</v>
      </c>
      <c r="E351" s="2" t="str">
        <f>+VLOOKUP(C351,FRAGILIDAD,2,0)</f>
        <v>Nivel 2 (Frágil)</v>
      </c>
    </row>
    <row r="352" spans="1:5" ht="16.8" x14ac:dyDescent="0.3">
      <c r="A352" s="3" t="s">
        <v>133</v>
      </c>
      <c r="B352" s="4" t="s">
        <v>84</v>
      </c>
      <c r="C352" s="4">
        <v>2</v>
      </c>
      <c r="D352" s="3" t="s">
        <v>10</v>
      </c>
      <c r="E352" s="2" t="str">
        <f>+VLOOKUP(C352,FRAGILIDAD,2,0)</f>
        <v>Nivel 2 (Frágil)</v>
      </c>
    </row>
    <row r="353" spans="1:5" ht="16.8" x14ac:dyDescent="0.3">
      <c r="A353" s="3" t="s">
        <v>132</v>
      </c>
      <c r="B353" s="4" t="s">
        <v>84</v>
      </c>
      <c r="C353" s="4">
        <v>2</v>
      </c>
      <c r="D353" s="3" t="s">
        <v>10</v>
      </c>
      <c r="E353" s="2" t="str">
        <f>+VLOOKUP(C353,FRAGILIDAD,2,0)</f>
        <v>Nivel 2 (Frágil)</v>
      </c>
    </row>
    <row r="354" spans="1:5" ht="16.8" x14ac:dyDescent="0.3">
      <c r="A354" s="3" t="s">
        <v>131</v>
      </c>
      <c r="B354" s="4" t="s">
        <v>84</v>
      </c>
      <c r="C354" s="4">
        <v>3</v>
      </c>
      <c r="D354" s="3" t="s">
        <v>0</v>
      </c>
      <c r="E354" s="2" t="str">
        <f>+VLOOKUP(C354,FRAGILIDAD,2,0)</f>
        <v>Nivel 3 (Normal)</v>
      </c>
    </row>
    <row r="355" spans="1:5" ht="16.8" x14ac:dyDescent="0.3">
      <c r="A355" s="3" t="s">
        <v>130</v>
      </c>
      <c r="B355" s="4" t="s">
        <v>84</v>
      </c>
      <c r="C355" s="4">
        <v>1</v>
      </c>
      <c r="D355" s="3" t="s">
        <v>5</v>
      </c>
      <c r="E355" s="2" t="str">
        <f>+VLOOKUP(C355,FRAGILIDAD,2,0)</f>
        <v>Nivel 1 (Muy Frágil)</v>
      </c>
    </row>
    <row r="356" spans="1:5" ht="16.8" x14ac:dyDescent="0.3">
      <c r="A356" s="3" t="s">
        <v>129</v>
      </c>
      <c r="B356" s="4" t="s">
        <v>84</v>
      </c>
      <c r="C356" s="4">
        <v>3</v>
      </c>
      <c r="D356" s="3" t="s">
        <v>3</v>
      </c>
      <c r="E356" s="2" t="str">
        <f>+VLOOKUP(C356,FRAGILIDAD,2,0)</f>
        <v>Nivel 3 (Normal)</v>
      </c>
    </row>
    <row r="357" spans="1:5" ht="16.8" x14ac:dyDescent="0.3">
      <c r="A357" s="3" t="s">
        <v>128</v>
      </c>
      <c r="B357" s="4" t="s">
        <v>84</v>
      </c>
      <c r="C357" s="4">
        <v>3</v>
      </c>
      <c r="D357" s="3" t="s">
        <v>3</v>
      </c>
      <c r="E357" s="2" t="str">
        <f>+VLOOKUP(C357,FRAGILIDAD,2,0)</f>
        <v>Nivel 3 (Normal)</v>
      </c>
    </row>
    <row r="358" spans="1:5" ht="16.8" x14ac:dyDescent="0.3">
      <c r="A358" s="3" t="s">
        <v>127</v>
      </c>
      <c r="B358" s="4" t="s">
        <v>84</v>
      </c>
      <c r="C358" s="4">
        <v>3</v>
      </c>
      <c r="D358" s="3" t="s">
        <v>3</v>
      </c>
      <c r="E358" s="2" t="str">
        <f>+VLOOKUP(C358,FRAGILIDAD,2,0)</f>
        <v>Nivel 3 (Normal)</v>
      </c>
    </row>
    <row r="359" spans="1:5" ht="16.8" x14ac:dyDescent="0.3">
      <c r="A359" s="3" t="s">
        <v>126</v>
      </c>
      <c r="B359" s="4" t="s">
        <v>84</v>
      </c>
      <c r="C359" s="4">
        <v>3</v>
      </c>
      <c r="D359" s="3" t="s">
        <v>0</v>
      </c>
      <c r="E359" s="2" t="str">
        <f>+VLOOKUP(C359,FRAGILIDAD,2,0)</f>
        <v>Nivel 3 (Normal)</v>
      </c>
    </row>
    <row r="360" spans="1:5" ht="16.8" x14ac:dyDescent="0.3">
      <c r="A360" s="3" t="s">
        <v>125</v>
      </c>
      <c r="B360" s="4" t="s">
        <v>84</v>
      </c>
      <c r="C360" s="4">
        <v>3</v>
      </c>
      <c r="D360" s="3" t="s">
        <v>3</v>
      </c>
      <c r="E360" s="2" t="str">
        <f>+VLOOKUP(C360,FRAGILIDAD,2,0)</f>
        <v>Nivel 3 (Normal)</v>
      </c>
    </row>
    <row r="361" spans="1:5" ht="16.8" x14ac:dyDescent="0.3">
      <c r="A361" s="3" t="s">
        <v>124</v>
      </c>
      <c r="B361" s="4" t="s">
        <v>84</v>
      </c>
      <c r="C361" s="4">
        <v>1</v>
      </c>
      <c r="D361" s="3" t="s">
        <v>5</v>
      </c>
      <c r="E361" s="2" t="str">
        <f>+VLOOKUP(C361,FRAGILIDAD,2,0)</f>
        <v>Nivel 1 (Muy Frágil)</v>
      </c>
    </row>
    <row r="362" spans="1:5" ht="16.8" x14ac:dyDescent="0.3">
      <c r="A362" s="3" t="s">
        <v>123</v>
      </c>
      <c r="B362" s="4" t="s">
        <v>84</v>
      </c>
      <c r="C362" s="4">
        <v>3</v>
      </c>
      <c r="D362" s="3" t="s">
        <v>3</v>
      </c>
      <c r="E362" s="2" t="str">
        <f>+VLOOKUP(C362,FRAGILIDAD,2,0)</f>
        <v>Nivel 3 (Normal)</v>
      </c>
    </row>
    <row r="363" spans="1:5" ht="16.8" x14ac:dyDescent="0.3">
      <c r="A363" s="3" t="s">
        <v>122</v>
      </c>
      <c r="B363" s="4" t="s">
        <v>84</v>
      </c>
      <c r="C363" s="4">
        <v>3</v>
      </c>
      <c r="D363" s="3" t="s">
        <v>3</v>
      </c>
      <c r="E363" s="2" t="str">
        <f>+VLOOKUP(C363,FRAGILIDAD,2,0)</f>
        <v>Nivel 3 (Normal)</v>
      </c>
    </row>
    <row r="364" spans="1:5" ht="16.8" x14ac:dyDescent="0.3">
      <c r="A364" s="3" t="s">
        <v>121</v>
      </c>
      <c r="B364" s="4" t="s">
        <v>84</v>
      </c>
      <c r="C364" s="4">
        <v>2</v>
      </c>
      <c r="D364" s="3" t="s">
        <v>10</v>
      </c>
      <c r="E364" s="2" t="str">
        <f>+VLOOKUP(C364,FRAGILIDAD,2,0)</f>
        <v>Nivel 2 (Frágil)</v>
      </c>
    </row>
    <row r="365" spans="1:5" ht="16.8" x14ac:dyDescent="0.3">
      <c r="A365" s="3" t="s">
        <v>120</v>
      </c>
      <c r="B365" s="4" t="s">
        <v>84</v>
      </c>
      <c r="C365" s="4">
        <v>2</v>
      </c>
      <c r="D365" s="3" t="s">
        <v>10</v>
      </c>
      <c r="E365" s="2" t="str">
        <f>+VLOOKUP(C365,FRAGILIDAD,2,0)</f>
        <v>Nivel 2 (Frágil)</v>
      </c>
    </row>
    <row r="366" spans="1:5" ht="16.8" x14ac:dyDescent="0.3">
      <c r="A366" s="3" t="s">
        <v>119</v>
      </c>
      <c r="B366" s="4" t="s">
        <v>84</v>
      </c>
      <c r="C366" s="4">
        <v>2</v>
      </c>
      <c r="D366" s="3" t="s">
        <v>10</v>
      </c>
      <c r="E366" s="2" t="str">
        <f>+VLOOKUP(C366,FRAGILIDAD,2,0)</f>
        <v>Nivel 2 (Frágil)</v>
      </c>
    </row>
    <row r="367" spans="1:5" ht="16.8" x14ac:dyDescent="0.3">
      <c r="A367" s="3" t="s">
        <v>118</v>
      </c>
      <c r="B367" s="4" t="s">
        <v>84</v>
      </c>
      <c r="C367" s="4">
        <v>2</v>
      </c>
      <c r="D367" s="3" t="s">
        <v>10</v>
      </c>
      <c r="E367" s="2" t="str">
        <f>+VLOOKUP(C367,FRAGILIDAD,2,0)</f>
        <v>Nivel 2 (Frágil)</v>
      </c>
    </row>
    <row r="368" spans="1:5" ht="16.8" x14ac:dyDescent="0.3">
      <c r="A368" s="3" t="s">
        <v>117</v>
      </c>
      <c r="B368" s="4" t="s">
        <v>84</v>
      </c>
      <c r="C368" s="4">
        <v>3</v>
      </c>
      <c r="D368" s="3" t="s">
        <v>0</v>
      </c>
      <c r="E368" s="2" t="str">
        <f>+VLOOKUP(C368,FRAGILIDAD,2,0)</f>
        <v>Nivel 3 (Normal)</v>
      </c>
    </row>
    <row r="369" spans="1:5" ht="16.8" x14ac:dyDescent="0.3">
      <c r="A369" s="3" t="s">
        <v>116</v>
      </c>
      <c r="B369" s="4" t="s">
        <v>84</v>
      </c>
      <c r="C369" s="4">
        <v>3</v>
      </c>
      <c r="D369" s="3" t="s">
        <v>0</v>
      </c>
      <c r="E369" s="2" t="str">
        <f>+VLOOKUP(C369,FRAGILIDAD,2,0)</f>
        <v>Nivel 3 (Normal)</v>
      </c>
    </row>
    <row r="370" spans="1:5" ht="16.8" x14ac:dyDescent="0.3">
      <c r="A370" s="3" t="s">
        <v>115</v>
      </c>
      <c r="B370" s="4" t="s">
        <v>84</v>
      </c>
      <c r="C370" s="4">
        <v>3</v>
      </c>
      <c r="D370" s="3" t="s">
        <v>0</v>
      </c>
      <c r="E370" s="2" t="str">
        <f>+VLOOKUP(C370,FRAGILIDAD,2,0)</f>
        <v>Nivel 3 (Normal)</v>
      </c>
    </row>
    <row r="371" spans="1:5" ht="16.8" x14ac:dyDescent="0.3">
      <c r="A371" s="3" t="s">
        <v>114</v>
      </c>
      <c r="B371" s="4" t="s">
        <v>84</v>
      </c>
      <c r="C371" s="4">
        <v>3</v>
      </c>
      <c r="D371" s="3" t="s">
        <v>3</v>
      </c>
      <c r="E371" s="2" t="str">
        <f>+VLOOKUP(C371,FRAGILIDAD,2,0)</f>
        <v>Nivel 3 (Normal)</v>
      </c>
    </row>
    <row r="372" spans="1:5" ht="16.8" x14ac:dyDescent="0.3">
      <c r="A372" s="3" t="s">
        <v>113</v>
      </c>
      <c r="B372" s="4" t="s">
        <v>84</v>
      </c>
      <c r="C372" s="4">
        <v>3</v>
      </c>
      <c r="D372" s="3" t="s">
        <v>3</v>
      </c>
      <c r="E372" s="2" t="str">
        <f>+VLOOKUP(C372,FRAGILIDAD,2,0)</f>
        <v>Nivel 3 (Normal)</v>
      </c>
    </row>
    <row r="373" spans="1:5" ht="16.8" x14ac:dyDescent="0.3">
      <c r="A373" s="3" t="s">
        <v>112</v>
      </c>
      <c r="B373" s="4" t="s">
        <v>84</v>
      </c>
      <c r="C373" s="4">
        <v>3</v>
      </c>
      <c r="D373" s="3" t="s">
        <v>0</v>
      </c>
      <c r="E373" s="2" t="str">
        <f>+VLOOKUP(C373,FRAGILIDAD,2,0)</f>
        <v>Nivel 3 (Normal)</v>
      </c>
    </row>
    <row r="374" spans="1:5" ht="16.8" x14ac:dyDescent="0.3">
      <c r="A374" s="3" t="s">
        <v>111</v>
      </c>
      <c r="B374" s="4" t="s">
        <v>84</v>
      </c>
      <c r="C374" s="4">
        <v>3</v>
      </c>
      <c r="D374" s="3" t="s">
        <v>0</v>
      </c>
      <c r="E374" s="2" t="str">
        <f>+VLOOKUP(C374,FRAGILIDAD,2,0)</f>
        <v>Nivel 3 (Normal)</v>
      </c>
    </row>
    <row r="375" spans="1:5" ht="16.8" x14ac:dyDescent="0.3">
      <c r="A375" s="3" t="s">
        <v>110</v>
      </c>
      <c r="B375" s="4" t="s">
        <v>84</v>
      </c>
      <c r="C375" s="4">
        <v>3</v>
      </c>
      <c r="D375" s="3" t="s">
        <v>0</v>
      </c>
      <c r="E375" s="2" t="str">
        <f>+VLOOKUP(C375,FRAGILIDAD,2,0)</f>
        <v>Nivel 3 (Normal)</v>
      </c>
    </row>
    <row r="376" spans="1:5" ht="16.8" x14ac:dyDescent="0.3">
      <c r="A376" s="3" t="s">
        <v>109</v>
      </c>
      <c r="B376" s="4" t="s">
        <v>84</v>
      </c>
      <c r="C376" s="4">
        <v>3</v>
      </c>
      <c r="D376" s="3" t="s">
        <v>0</v>
      </c>
      <c r="E376" s="2" t="str">
        <f>+VLOOKUP(C376,FRAGILIDAD,2,0)</f>
        <v>Nivel 3 (Normal)</v>
      </c>
    </row>
    <row r="377" spans="1:5" ht="16.8" x14ac:dyDescent="0.3">
      <c r="A377" s="3" t="s">
        <v>108</v>
      </c>
      <c r="B377" s="4" t="s">
        <v>84</v>
      </c>
      <c r="C377" s="4">
        <v>3</v>
      </c>
      <c r="D377" s="3" t="s">
        <v>0</v>
      </c>
      <c r="E377" s="2" t="str">
        <f>+VLOOKUP(C377,FRAGILIDAD,2,0)</f>
        <v>Nivel 3 (Normal)</v>
      </c>
    </row>
    <row r="378" spans="1:5" ht="16.8" x14ac:dyDescent="0.3">
      <c r="A378" s="3" t="s">
        <v>107</v>
      </c>
      <c r="B378" s="4" t="s">
        <v>84</v>
      </c>
      <c r="C378" s="4">
        <v>3</v>
      </c>
      <c r="D378" s="3" t="s">
        <v>0</v>
      </c>
      <c r="E378" s="2" t="str">
        <f>+VLOOKUP(C378,FRAGILIDAD,2,0)</f>
        <v>Nivel 3 (Normal)</v>
      </c>
    </row>
    <row r="379" spans="1:5" ht="16.8" x14ac:dyDescent="0.3">
      <c r="A379" s="3" t="s">
        <v>106</v>
      </c>
      <c r="B379" s="4" t="s">
        <v>84</v>
      </c>
      <c r="C379" s="4">
        <v>3</v>
      </c>
      <c r="D379" s="3" t="s">
        <v>0</v>
      </c>
      <c r="E379" s="2" t="str">
        <f>+VLOOKUP(C379,FRAGILIDAD,2,0)</f>
        <v>Nivel 3 (Normal)</v>
      </c>
    </row>
    <row r="380" spans="1:5" ht="16.8" x14ac:dyDescent="0.3">
      <c r="A380" s="3" t="s">
        <v>105</v>
      </c>
      <c r="B380" s="4" t="s">
        <v>84</v>
      </c>
      <c r="C380" s="4">
        <v>2</v>
      </c>
      <c r="D380" s="3" t="s">
        <v>10</v>
      </c>
      <c r="E380" s="2" t="str">
        <f>+VLOOKUP(C380,FRAGILIDAD,2,0)</f>
        <v>Nivel 2 (Frágil)</v>
      </c>
    </row>
    <row r="381" spans="1:5" ht="16.8" x14ac:dyDescent="0.3">
      <c r="A381" s="3" t="s">
        <v>104</v>
      </c>
      <c r="B381" s="4" t="s">
        <v>84</v>
      </c>
      <c r="C381" s="4">
        <v>2</v>
      </c>
      <c r="D381" s="3" t="s">
        <v>10</v>
      </c>
      <c r="E381" s="2" t="str">
        <f>+VLOOKUP(C381,FRAGILIDAD,2,0)</f>
        <v>Nivel 2 (Frágil)</v>
      </c>
    </row>
    <row r="382" spans="1:5" ht="16.8" x14ac:dyDescent="0.3">
      <c r="A382" s="3" t="s">
        <v>103</v>
      </c>
      <c r="B382" s="4" t="s">
        <v>84</v>
      </c>
      <c r="C382" s="4">
        <v>2</v>
      </c>
      <c r="D382" s="3" t="s">
        <v>10</v>
      </c>
      <c r="E382" s="2" t="str">
        <f>+VLOOKUP(C382,FRAGILIDAD,2,0)</f>
        <v>Nivel 2 (Frágil)</v>
      </c>
    </row>
    <row r="383" spans="1:5" ht="16.8" x14ac:dyDescent="0.3">
      <c r="A383" s="3" t="s">
        <v>102</v>
      </c>
      <c r="B383" s="4" t="s">
        <v>84</v>
      </c>
      <c r="C383" s="4">
        <v>3</v>
      </c>
      <c r="D383" s="3" t="s">
        <v>3</v>
      </c>
      <c r="E383" s="2" t="str">
        <f>+VLOOKUP(C383,FRAGILIDAD,2,0)</f>
        <v>Nivel 3 (Normal)</v>
      </c>
    </row>
    <row r="384" spans="1:5" ht="16.8" x14ac:dyDescent="0.3">
      <c r="A384" s="3" t="s">
        <v>101</v>
      </c>
      <c r="B384" s="4" t="s">
        <v>84</v>
      </c>
      <c r="C384" s="4">
        <v>3</v>
      </c>
      <c r="D384" s="3" t="s">
        <v>3</v>
      </c>
      <c r="E384" s="2" t="str">
        <f>+VLOOKUP(C384,FRAGILIDAD,2,0)</f>
        <v>Nivel 3 (Normal)</v>
      </c>
    </row>
    <row r="385" spans="1:5" ht="16.8" x14ac:dyDescent="0.3">
      <c r="A385" s="3" t="s">
        <v>100</v>
      </c>
      <c r="B385" s="4" t="s">
        <v>84</v>
      </c>
      <c r="C385" s="4">
        <v>3</v>
      </c>
      <c r="D385" s="3" t="s">
        <v>3</v>
      </c>
      <c r="E385" s="2" t="str">
        <f>+VLOOKUP(C385,FRAGILIDAD,2,0)</f>
        <v>Nivel 3 (Normal)</v>
      </c>
    </row>
    <row r="386" spans="1:5" ht="16.8" x14ac:dyDescent="0.3">
      <c r="A386" s="3" t="s">
        <v>99</v>
      </c>
      <c r="B386" s="4" t="s">
        <v>84</v>
      </c>
      <c r="C386" s="4">
        <v>3</v>
      </c>
      <c r="D386" s="3" t="s">
        <v>3</v>
      </c>
      <c r="E386" s="2" t="str">
        <f>+VLOOKUP(C386,FRAGILIDAD,2,0)</f>
        <v>Nivel 3 (Normal)</v>
      </c>
    </row>
    <row r="387" spans="1:5" ht="16.8" x14ac:dyDescent="0.3">
      <c r="A387" s="3" t="s">
        <v>98</v>
      </c>
      <c r="B387" s="4" t="s">
        <v>84</v>
      </c>
      <c r="C387" s="4">
        <v>3</v>
      </c>
      <c r="D387" s="3" t="s">
        <v>3</v>
      </c>
      <c r="E387" s="2" t="str">
        <f>+VLOOKUP(C387,FRAGILIDAD,2,0)</f>
        <v>Nivel 3 (Normal)</v>
      </c>
    </row>
    <row r="388" spans="1:5" ht="16.8" x14ac:dyDescent="0.3">
      <c r="A388" s="3" t="s">
        <v>97</v>
      </c>
      <c r="B388" s="4" t="s">
        <v>84</v>
      </c>
      <c r="C388" s="4">
        <v>3</v>
      </c>
      <c r="D388" s="3" t="s">
        <v>3</v>
      </c>
      <c r="E388" s="2" t="str">
        <f>+VLOOKUP(C388,FRAGILIDAD,2,0)</f>
        <v>Nivel 3 (Normal)</v>
      </c>
    </row>
    <row r="389" spans="1:5" ht="16.8" x14ac:dyDescent="0.3">
      <c r="A389" s="3" t="s">
        <v>96</v>
      </c>
      <c r="B389" s="4" t="s">
        <v>84</v>
      </c>
      <c r="C389" s="4">
        <v>3</v>
      </c>
      <c r="D389" s="3" t="s">
        <v>3</v>
      </c>
      <c r="E389" s="2" t="str">
        <f>+VLOOKUP(C389,FRAGILIDAD,2,0)</f>
        <v>Nivel 3 (Normal)</v>
      </c>
    </row>
    <row r="390" spans="1:5" ht="16.8" x14ac:dyDescent="0.3">
      <c r="A390" s="3" t="s">
        <v>95</v>
      </c>
      <c r="B390" s="4" t="s">
        <v>84</v>
      </c>
      <c r="C390" s="4">
        <v>2</v>
      </c>
      <c r="D390" s="3" t="s">
        <v>10</v>
      </c>
      <c r="E390" s="2" t="str">
        <f>+VLOOKUP(C390,FRAGILIDAD,2,0)</f>
        <v>Nivel 2 (Frágil)</v>
      </c>
    </row>
    <row r="391" spans="1:5" ht="16.8" x14ac:dyDescent="0.3">
      <c r="A391" s="3" t="s">
        <v>94</v>
      </c>
      <c r="B391" s="4" t="s">
        <v>84</v>
      </c>
      <c r="C391" s="4">
        <v>2</v>
      </c>
      <c r="D391" s="3" t="s">
        <v>10</v>
      </c>
      <c r="E391" s="2" t="str">
        <f>+VLOOKUP(C391,FRAGILIDAD,2,0)</f>
        <v>Nivel 2 (Frágil)</v>
      </c>
    </row>
    <row r="392" spans="1:5" ht="16.8" x14ac:dyDescent="0.3">
      <c r="A392" s="3" t="s">
        <v>93</v>
      </c>
      <c r="B392" s="4" t="s">
        <v>84</v>
      </c>
      <c r="C392" s="4">
        <v>2</v>
      </c>
      <c r="D392" s="3" t="s">
        <v>10</v>
      </c>
      <c r="E392" s="2" t="str">
        <f>+VLOOKUP(C392,FRAGILIDAD,2,0)</f>
        <v>Nivel 2 (Frágil)</v>
      </c>
    </row>
    <row r="393" spans="1:5" ht="16.8" x14ac:dyDescent="0.3">
      <c r="A393" s="3" t="s">
        <v>92</v>
      </c>
      <c r="B393" s="4" t="s">
        <v>84</v>
      </c>
      <c r="C393" s="4">
        <v>2</v>
      </c>
      <c r="D393" s="3" t="s">
        <v>10</v>
      </c>
      <c r="E393" s="2" t="str">
        <f>+VLOOKUP(C393,FRAGILIDAD,2,0)</f>
        <v>Nivel 2 (Frágil)</v>
      </c>
    </row>
    <row r="394" spans="1:5" ht="16.8" x14ac:dyDescent="0.3">
      <c r="A394" s="3" t="s">
        <v>91</v>
      </c>
      <c r="B394" s="4" t="s">
        <v>84</v>
      </c>
      <c r="C394" s="4">
        <v>3</v>
      </c>
      <c r="D394" s="3" t="s">
        <v>3</v>
      </c>
      <c r="E394" s="2" t="str">
        <f>+VLOOKUP(C394,FRAGILIDAD,2,0)</f>
        <v>Nivel 3 (Normal)</v>
      </c>
    </row>
    <row r="395" spans="1:5" ht="16.8" x14ac:dyDescent="0.3">
      <c r="A395" s="3" t="s">
        <v>90</v>
      </c>
      <c r="B395" s="4" t="s">
        <v>84</v>
      </c>
      <c r="C395" s="4">
        <v>3</v>
      </c>
      <c r="D395" s="3" t="s">
        <v>3</v>
      </c>
      <c r="E395" s="2" t="str">
        <f>+VLOOKUP(C395,FRAGILIDAD,2,0)</f>
        <v>Nivel 3 (Normal)</v>
      </c>
    </row>
    <row r="396" spans="1:5" ht="16.8" x14ac:dyDescent="0.3">
      <c r="A396" s="3" t="s">
        <v>89</v>
      </c>
      <c r="B396" s="4" t="s">
        <v>84</v>
      </c>
      <c r="C396" s="4">
        <v>3</v>
      </c>
      <c r="D396" s="3" t="s">
        <v>0</v>
      </c>
      <c r="E396" s="2" t="str">
        <f>+VLOOKUP(C396,FRAGILIDAD,2,0)</f>
        <v>Nivel 3 (Normal)</v>
      </c>
    </row>
    <row r="397" spans="1:5" ht="16.8" x14ac:dyDescent="0.3">
      <c r="A397" s="3" t="s">
        <v>88</v>
      </c>
      <c r="B397" s="4" t="s">
        <v>84</v>
      </c>
      <c r="C397" s="4">
        <v>3</v>
      </c>
      <c r="D397" s="3" t="s">
        <v>0</v>
      </c>
      <c r="E397" s="2" t="str">
        <f>+VLOOKUP(C397,FRAGILIDAD,2,0)</f>
        <v>Nivel 3 (Normal)</v>
      </c>
    </row>
    <row r="398" spans="1:5" ht="16.8" x14ac:dyDescent="0.3">
      <c r="A398" s="3" t="s">
        <v>87</v>
      </c>
      <c r="B398" s="4" t="s">
        <v>84</v>
      </c>
      <c r="C398" s="4">
        <v>5</v>
      </c>
      <c r="D398" s="3" t="s">
        <v>86</v>
      </c>
      <c r="E398" s="2" t="str">
        <f>+VLOOKUP(C398,FRAGILIDAD,2,0)</f>
        <v>Nivel 5 (Ultra Resistente)</v>
      </c>
    </row>
    <row r="399" spans="1:5" ht="16.8" x14ac:dyDescent="0.3">
      <c r="A399" s="3" t="s">
        <v>85</v>
      </c>
      <c r="B399" s="4" t="s">
        <v>84</v>
      </c>
      <c r="C399" s="4">
        <v>4</v>
      </c>
      <c r="D399" s="3" t="s">
        <v>83</v>
      </c>
      <c r="E399" s="2" t="str">
        <f>+VLOOKUP(C399,FRAGILIDAD,2,0)</f>
        <v>Nivel 4 (Muy Resistente)</v>
      </c>
    </row>
    <row r="400" spans="1:5" ht="16.8" x14ac:dyDescent="0.3">
      <c r="A400" s="3" t="s">
        <v>82</v>
      </c>
      <c r="B400" s="4" t="s">
        <v>46</v>
      </c>
      <c r="C400" s="4">
        <v>3</v>
      </c>
      <c r="D400" s="3" t="s">
        <v>3</v>
      </c>
      <c r="E400" s="2" t="str">
        <f>+VLOOKUP(C400,FRAGILIDAD,2,0)</f>
        <v>Nivel 3 (Normal)</v>
      </c>
    </row>
    <row r="401" spans="1:5" ht="16.8" x14ac:dyDescent="0.3">
      <c r="A401" s="3" t="s">
        <v>81</v>
      </c>
      <c r="B401" s="4" t="s">
        <v>46</v>
      </c>
      <c r="C401" s="4">
        <v>1</v>
      </c>
      <c r="D401" s="3" t="s">
        <v>5</v>
      </c>
      <c r="E401" s="2" t="str">
        <f>+VLOOKUP(C401,FRAGILIDAD,2,0)</f>
        <v>Nivel 1 (Muy Frágil)</v>
      </c>
    </row>
    <row r="402" spans="1:5" ht="16.8" x14ac:dyDescent="0.3">
      <c r="A402" s="3" t="s">
        <v>80</v>
      </c>
      <c r="B402" s="4" t="s">
        <v>46</v>
      </c>
      <c r="C402" s="4">
        <v>1</v>
      </c>
      <c r="D402" s="3" t="s">
        <v>5</v>
      </c>
      <c r="E402" s="2" t="str">
        <f>+VLOOKUP(C402,FRAGILIDAD,2,0)</f>
        <v>Nivel 1 (Muy Frágil)</v>
      </c>
    </row>
    <row r="403" spans="1:5" ht="16.8" x14ac:dyDescent="0.3">
      <c r="A403" s="3" t="s">
        <v>79</v>
      </c>
      <c r="B403" s="4" t="s">
        <v>46</v>
      </c>
      <c r="C403" s="4">
        <v>1</v>
      </c>
      <c r="D403" s="3" t="s">
        <v>5</v>
      </c>
      <c r="E403" s="2" t="str">
        <f>+VLOOKUP(C403,FRAGILIDAD,2,0)</f>
        <v>Nivel 1 (Muy Frágil)</v>
      </c>
    </row>
    <row r="404" spans="1:5" ht="16.8" x14ac:dyDescent="0.3">
      <c r="A404" s="3" t="s">
        <v>78</v>
      </c>
      <c r="B404" s="4" t="s">
        <v>46</v>
      </c>
      <c r="C404" s="4">
        <v>3</v>
      </c>
      <c r="D404" s="3" t="s">
        <v>3</v>
      </c>
      <c r="E404" s="2" t="str">
        <f>+VLOOKUP(C404,FRAGILIDAD,2,0)</f>
        <v>Nivel 3 (Normal)</v>
      </c>
    </row>
    <row r="405" spans="1:5" ht="16.8" x14ac:dyDescent="0.3">
      <c r="A405" s="3" t="s">
        <v>77</v>
      </c>
      <c r="B405" s="4" t="s">
        <v>46</v>
      </c>
      <c r="C405" s="4">
        <v>1</v>
      </c>
      <c r="D405" s="3" t="s">
        <v>5</v>
      </c>
      <c r="E405" s="2" t="str">
        <f>+VLOOKUP(C405,FRAGILIDAD,2,0)</f>
        <v>Nivel 1 (Muy Frágil)</v>
      </c>
    </row>
    <row r="406" spans="1:5" ht="16.8" x14ac:dyDescent="0.3">
      <c r="A406" s="3" t="s">
        <v>76</v>
      </c>
      <c r="B406" s="4" t="s">
        <v>46</v>
      </c>
      <c r="C406" s="4">
        <v>1</v>
      </c>
      <c r="D406" s="3" t="s">
        <v>5</v>
      </c>
      <c r="E406" s="2" t="str">
        <f>+VLOOKUP(C406,FRAGILIDAD,2,0)</f>
        <v>Nivel 1 (Muy Frágil)</v>
      </c>
    </row>
    <row r="407" spans="1:5" ht="16.8" x14ac:dyDescent="0.3">
      <c r="A407" s="3" t="s">
        <v>75</v>
      </c>
      <c r="B407" s="4" t="s">
        <v>46</v>
      </c>
      <c r="C407" s="4">
        <v>1</v>
      </c>
      <c r="D407" s="3" t="s">
        <v>5</v>
      </c>
      <c r="E407" s="2" t="str">
        <f>+VLOOKUP(C407,FRAGILIDAD,2,0)</f>
        <v>Nivel 1 (Muy Frágil)</v>
      </c>
    </row>
    <row r="408" spans="1:5" ht="16.8" x14ac:dyDescent="0.3">
      <c r="A408" s="3" t="s">
        <v>74</v>
      </c>
      <c r="B408" s="4" t="s">
        <v>46</v>
      </c>
      <c r="C408" s="4">
        <v>1</v>
      </c>
      <c r="D408" s="3" t="s">
        <v>5</v>
      </c>
      <c r="E408" s="2" t="str">
        <f>+VLOOKUP(C408,FRAGILIDAD,2,0)</f>
        <v>Nivel 1 (Muy Frágil)</v>
      </c>
    </row>
    <row r="409" spans="1:5" ht="16.8" x14ac:dyDescent="0.3">
      <c r="A409" s="3" t="s">
        <v>73</v>
      </c>
      <c r="B409" s="4" t="s">
        <v>46</v>
      </c>
      <c r="C409" s="4">
        <v>1</v>
      </c>
      <c r="D409" s="3" t="s">
        <v>5</v>
      </c>
      <c r="E409" s="2" t="str">
        <f>+VLOOKUP(C409,FRAGILIDAD,2,0)</f>
        <v>Nivel 1 (Muy Frágil)</v>
      </c>
    </row>
    <row r="410" spans="1:5" ht="16.8" x14ac:dyDescent="0.3">
      <c r="A410" s="3" t="s">
        <v>72</v>
      </c>
      <c r="B410" s="4" t="s">
        <v>46</v>
      </c>
      <c r="C410" s="4">
        <v>1</v>
      </c>
      <c r="D410" s="3" t="s">
        <v>5</v>
      </c>
      <c r="E410" s="2" t="str">
        <f>+VLOOKUP(C410,FRAGILIDAD,2,0)</f>
        <v>Nivel 1 (Muy Frágil)</v>
      </c>
    </row>
    <row r="411" spans="1:5" ht="16.8" x14ac:dyDescent="0.3">
      <c r="A411" s="3" t="s">
        <v>71</v>
      </c>
      <c r="B411" s="4" t="s">
        <v>46</v>
      </c>
      <c r="C411" s="4">
        <v>1</v>
      </c>
      <c r="D411" s="3" t="s">
        <v>5</v>
      </c>
      <c r="E411" s="2" t="str">
        <f>+VLOOKUP(C411,FRAGILIDAD,2,0)</f>
        <v>Nivel 1 (Muy Frágil)</v>
      </c>
    </row>
    <row r="412" spans="1:5" ht="16.8" x14ac:dyDescent="0.3">
      <c r="A412" s="3" t="s">
        <v>70</v>
      </c>
      <c r="B412" s="4" t="s">
        <v>46</v>
      </c>
      <c r="C412" s="4">
        <v>1</v>
      </c>
      <c r="D412" s="3" t="s">
        <v>5</v>
      </c>
      <c r="E412" s="2" t="str">
        <f>+VLOOKUP(C412,FRAGILIDAD,2,0)</f>
        <v>Nivel 1 (Muy Frágil)</v>
      </c>
    </row>
    <row r="413" spans="1:5" ht="16.8" x14ac:dyDescent="0.3">
      <c r="A413" s="3" t="s">
        <v>69</v>
      </c>
      <c r="B413" s="4" t="s">
        <v>46</v>
      </c>
      <c r="C413" s="4">
        <v>1</v>
      </c>
      <c r="D413" s="3" t="s">
        <v>5</v>
      </c>
      <c r="E413" s="2" t="str">
        <f>+VLOOKUP(C413,FRAGILIDAD,2,0)</f>
        <v>Nivel 1 (Muy Frágil)</v>
      </c>
    </row>
    <row r="414" spans="1:5" ht="16.8" x14ac:dyDescent="0.3">
      <c r="A414" s="3" t="s">
        <v>68</v>
      </c>
      <c r="B414" s="4" t="s">
        <v>46</v>
      </c>
      <c r="C414" s="4">
        <v>1</v>
      </c>
      <c r="D414" s="3" t="s">
        <v>5</v>
      </c>
      <c r="E414" s="2" t="str">
        <f>+VLOOKUP(C414,FRAGILIDAD,2,0)</f>
        <v>Nivel 1 (Muy Frágil)</v>
      </c>
    </row>
    <row r="415" spans="1:5" ht="16.8" x14ac:dyDescent="0.3">
      <c r="A415" s="3" t="s">
        <v>67</v>
      </c>
      <c r="B415" s="4" t="s">
        <v>46</v>
      </c>
      <c r="C415" s="4">
        <v>3</v>
      </c>
      <c r="D415" s="3" t="s">
        <v>3</v>
      </c>
      <c r="E415" s="2" t="str">
        <f>+VLOOKUP(C415,FRAGILIDAD,2,0)</f>
        <v>Nivel 3 (Normal)</v>
      </c>
    </row>
    <row r="416" spans="1:5" ht="16.8" x14ac:dyDescent="0.3">
      <c r="A416" s="3" t="s">
        <v>66</v>
      </c>
      <c r="B416" s="4" t="s">
        <v>46</v>
      </c>
      <c r="C416" s="4">
        <v>3</v>
      </c>
      <c r="D416" s="3" t="s">
        <v>3</v>
      </c>
      <c r="E416" s="2" t="str">
        <f>+VLOOKUP(C416,FRAGILIDAD,2,0)</f>
        <v>Nivel 3 (Normal)</v>
      </c>
    </row>
    <row r="417" spans="1:5" ht="16.8" x14ac:dyDescent="0.3">
      <c r="A417" s="3" t="s">
        <v>65</v>
      </c>
      <c r="B417" s="4" t="s">
        <v>46</v>
      </c>
      <c r="C417" s="4">
        <v>3</v>
      </c>
      <c r="D417" s="3" t="s">
        <v>3</v>
      </c>
      <c r="E417" s="2" t="str">
        <f>+VLOOKUP(C417,FRAGILIDAD,2,0)</f>
        <v>Nivel 3 (Normal)</v>
      </c>
    </row>
    <row r="418" spans="1:5" ht="16.8" x14ac:dyDescent="0.3">
      <c r="A418" s="3" t="s">
        <v>64</v>
      </c>
      <c r="B418" s="4" t="s">
        <v>46</v>
      </c>
      <c r="C418" s="4">
        <v>1</v>
      </c>
      <c r="D418" s="3" t="s">
        <v>5</v>
      </c>
      <c r="E418" s="2" t="str">
        <f>+VLOOKUP(C418,FRAGILIDAD,2,0)</f>
        <v>Nivel 1 (Muy Frágil)</v>
      </c>
    </row>
    <row r="419" spans="1:5" ht="16.8" x14ac:dyDescent="0.3">
      <c r="A419" s="3" t="s">
        <v>63</v>
      </c>
      <c r="B419" s="4" t="s">
        <v>46</v>
      </c>
      <c r="C419" s="4">
        <v>1</v>
      </c>
      <c r="D419" s="3" t="s">
        <v>5</v>
      </c>
      <c r="E419" s="2" t="str">
        <f>+VLOOKUP(C419,FRAGILIDAD,2,0)</f>
        <v>Nivel 1 (Muy Frágil)</v>
      </c>
    </row>
    <row r="420" spans="1:5" ht="16.8" x14ac:dyDescent="0.3">
      <c r="A420" s="3" t="s">
        <v>62</v>
      </c>
      <c r="B420" s="4" t="s">
        <v>46</v>
      </c>
      <c r="C420" s="4">
        <v>1</v>
      </c>
      <c r="D420" s="3" t="s">
        <v>5</v>
      </c>
      <c r="E420" s="2" t="str">
        <f>+VLOOKUP(C420,FRAGILIDAD,2,0)</f>
        <v>Nivel 1 (Muy Frágil)</v>
      </c>
    </row>
    <row r="421" spans="1:5" ht="16.8" x14ac:dyDescent="0.3">
      <c r="A421" s="3" t="s">
        <v>61</v>
      </c>
      <c r="B421" s="4" t="s">
        <v>46</v>
      </c>
      <c r="C421" s="4">
        <v>1</v>
      </c>
      <c r="D421" s="3" t="s">
        <v>5</v>
      </c>
      <c r="E421" s="2" t="str">
        <f>+VLOOKUP(C421,FRAGILIDAD,2,0)</f>
        <v>Nivel 1 (Muy Frágil)</v>
      </c>
    </row>
    <row r="422" spans="1:5" ht="16.8" x14ac:dyDescent="0.3">
      <c r="A422" s="3" t="s">
        <v>60</v>
      </c>
      <c r="B422" s="4" t="s">
        <v>46</v>
      </c>
      <c r="C422" s="4">
        <v>1</v>
      </c>
      <c r="D422" s="3" t="s">
        <v>5</v>
      </c>
      <c r="E422" s="2" t="str">
        <f>+VLOOKUP(C422,FRAGILIDAD,2,0)</f>
        <v>Nivel 1 (Muy Frágil)</v>
      </c>
    </row>
    <row r="423" spans="1:5" ht="16.8" x14ac:dyDescent="0.3">
      <c r="A423" s="3" t="s">
        <v>59</v>
      </c>
      <c r="B423" s="4" t="s">
        <v>46</v>
      </c>
      <c r="C423" s="4">
        <v>1</v>
      </c>
      <c r="D423" s="3" t="s">
        <v>5</v>
      </c>
      <c r="E423" s="2" t="str">
        <f>+VLOOKUP(C423,FRAGILIDAD,2,0)</f>
        <v>Nivel 1 (Muy Frágil)</v>
      </c>
    </row>
    <row r="424" spans="1:5" ht="16.8" x14ac:dyDescent="0.3">
      <c r="A424" s="3" t="s">
        <v>58</v>
      </c>
      <c r="B424" s="4" t="s">
        <v>46</v>
      </c>
      <c r="C424" s="4">
        <v>1</v>
      </c>
      <c r="D424" s="3" t="s">
        <v>5</v>
      </c>
      <c r="E424" s="2" t="str">
        <f>+VLOOKUP(C424,FRAGILIDAD,2,0)</f>
        <v>Nivel 1 (Muy Frágil)</v>
      </c>
    </row>
    <row r="425" spans="1:5" ht="16.8" x14ac:dyDescent="0.3">
      <c r="A425" s="3" t="s">
        <v>57</v>
      </c>
      <c r="B425" s="4" t="s">
        <v>46</v>
      </c>
      <c r="C425" s="4">
        <v>1</v>
      </c>
      <c r="D425" s="3" t="s">
        <v>5</v>
      </c>
      <c r="E425" s="2" t="str">
        <f>+VLOOKUP(C425,FRAGILIDAD,2,0)</f>
        <v>Nivel 1 (Muy Frágil)</v>
      </c>
    </row>
    <row r="426" spans="1:5" ht="16.8" x14ac:dyDescent="0.3">
      <c r="A426" s="3" t="s">
        <v>56</v>
      </c>
      <c r="B426" s="4" t="s">
        <v>46</v>
      </c>
      <c r="C426" s="4">
        <v>1</v>
      </c>
      <c r="D426" s="3" t="s">
        <v>5</v>
      </c>
      <c r="E426" s="2" t="str">
        <f>+VLOOKUP(C426,FRAGILIDAD,2,0)</f>
        <v>Nivel 1 (Muy Frágil)</v>
      </c>
    </row>
    <row r="427" spans="1:5" ht="16.8" x14ac:dyDescent="0.3">
      <c r="A427" s="3" t="s">
        <v>55</v>
      </c>
      <c r="B427" s="4" t="s">
        <v>46</v>
      </c>
      <c r="C427" s="4">
        <v>1</v>
      </c>
      <c r="D427" s="3" t="s">
        <v>5</v>
      </c>
      <c r="E427" s="2" t="str">
        <f>+VLOOKUP(C427,FRAGILIDAD,2,0)</f>
        <v>Nivel 1 (Muy Frágil)</v>
      </c>
    </row>
    <row r="428" spans="1:5" ht="16.8" x14ac:dyDescent="0.3">
      <c r="A428" s="3" t="s">
        <v>54</v>
      </c>
      <c r="B428" s="4" t="s">
        <v>46</v>
      </c>
      <c r="C428" s="4">
        <v>1</v>
      </c>
      <c r="D428" s="3" t="s">
        <v>5</v>
      </c>
      <c r="E428" s="2" t="str">
        <f>+VLOOKUP(C428,FRAGILIDAD,2,0)</f>
        <v>Nivel 1 (Muy Frágil)</v>
      </c>
    </row>
    <row r="429" spans="1:5" ht="16.8" x14ac:dyDescent="0.3">
      <c r="A429" s="3" t="s">
        <v>53</v>
      </c>
      <c r="B429" s="4" t="s">
        <v>46</v>
      </c>
      <c r="C429" s="4">
        <v>1</v>
      </c>
      <c r="D429" s="3" t="s">
        <v>5</v>
      </c>
      <c r="E429" s="2" t="str">
        <f>+VLOOKUP(C429,FRAGILIDAD,2,0)</f>
        <v>Nivel 1 (Muy Frágil)</v>
      </c>
    </row>
    <row r="430" spans="1:5" ht="16.8" x14ac:dyDescent="0.3">
      <c r="A430" s="3" t="s">
        <v>52</v>
      </c>
      <c r="B430" s="4" t="s">
        <v>46</v>
      </c>
      <c r="C430" s="4">
        <v>1</v>
      </c>
      <c r="D430" s="3" t="s">
        <v>5</v>
      </c>
      <c r="E430" s="2" t="str">
        <f>+VLOOKUP(C430,FRAGILIDAD,2,0)</f>
        <v>Nivel 1 (Muy Frágil)</v>
      </c>
    </row>
    <row r="431" spans="1:5" ht="16.8" x14ac:dyDescent="0.3">
      <c r="A431" s="3" t="s">
        <v>51</v>
      </c>
      <c r="B431" s="4" t="s">
        <v>46</v>
      </c>
      <c r="C431" s="4">
        <v>1</v>
      </c>
      <c r="D431" s="3" t="s">
        <v>5</v>
      </c>
      <c r="E431" s="2" t="str">
        <f>+VLOOKUP(C431,FRAGILIDAD,2,0)</f>
        <v>Nivel 1 (Muy Frágil)</v>
      </c>
    </row>
    <row r="432" spans="1:5" ht="16.8" x14ac:dyDescent="0.3">
      <c r="A432" s="3" t="s">
        <v>50</v>
      </c>
      <c r="B432" s="4" t="s">
        <v>46</v>
      </c>
      <c r="C432" s="4">
        <v>1</v>
      </c>
      <c r="D432" s="3" t="s">
        <v>5</v>
      </c>
      <c r="E432" s="2" t="str">
        <f>+VLOOKUP(C432,FRAGILIDAD,2,0)</f>
        <v>Nivel 1 (Muy Frágil)</v>
      </c>
    </row>
    <row r="433" spans="1:5" ht="16.8" x14ac:dyDescent="0.3">
      <c r="A433" s="3" t="s">
        <v>49</v>
      </c>
      <c r="B433" s="4" t="s">
        <v>46</v>
      </c>
      <c r="C433" s="4">
        <v>2</v>
      </c>
      <c r="D433" s="3" t="s">
        <v>10</v>
      </c>
      <c r="E433" s="2" t="str">
        <f>+VLOOKUP(C433,FRAGILIDAD,2,0)</f>
        <v>Nivel 2 (Frágil)</v>
      </c>
    </row>
    <row r="434" spans="1:5" ht="16.8" x14ac:dyDescent="0.3">
      <c r="A434" s="3" t="s">
        <v>48</v>
      </c>
      <c r="B434" s="4" t="s">
        <v>46</v>
      </c>
      <c r="C434" s="4">
        <v>2</v>
      </c>
      <c r="D434" s="3" t="s">
        <v>10</v>
      </c>
      <c r="E434" s="2" t="str">
        <f>+VLOOKUP(C434,FRAGILIDAD,2,0)</f>
        <v>Nivel 2 (Frágil)</v>
      </c>
    </row>
    <row r="435" spans="1:5" ht="16.8" x14ac:dyDescent="0.3">
      <c r="A435" s="3" t="s">
        <v>47</v>
      </c>
      <c r="B435" s="4" t="s">
        <v>46</v>
      </c>
      <c r="C435" s="4">
        <v>3</v>
      </c>
      <c r="D435" s="3" t="s">
        <v>0</v>
      </c>
      <c r="E435" s="2" t="str">
        <f>+VLOOKUP(C435,FRAGILIDAD,2,0)</f>
        <v>Nivel 3 (Normal)</v>
      </c>
    </row>
    <row r="436" spans="1:5" ht="16.8" x14ac:dyDescent="0.3">
      <c r="A436" s="3" t="s">
        <v>45</v>
      </c>
      <c r="B436" s="4" t="s">
        <v>1</v>
      </c>
      <c r="C436" s="4">
        <v>3</v>
      </c>
      <c r="D436" s="3" t="s">
        <v>3</v>
      </c>
      <c r="E436" s="2" t="str">
        <f>+VLOOKUP(C436,FRAGILIDAD,2,0)</f>
        <v>Nivel 3 (Normal)</v>
      </c>
    </row>
    <row r="437" spans="1:5" ht="16.8" x14ac:dyDescent="0.3">
      <c r="A437" s="3" t="s">
        <v>44</v>
      </c>
      <c r="B437" s="4" t="s">
        <v>1</v>
      </c>
      <c r="C437" s="4">
        <v>3</v>
      </c>
      <c r="D437" s="3" t="s">
        <v>3</v>
      </c>
      <c r="E437" s="2" t="str">
        <f>+VLOOKUP(C437,FRAGILIDAD,2,0)</f>
        <v>Nivel 3 (Normal)</v>
      </c>
    </row>
    <row r="438" spans="1:5" ht="16.8" x14ac:dyDescent="0.3">
      <c r="A438" s="3" t="s">
        <v>43</v>
      </c>
      <c r="B438" s="4" t="s">
        <v>1</v>
      </c>
      <c r="C438" s="4">
        <v>3</v>
      </c>
      <c r="D438" s="3" t="s">
        <v>3</v>
      </c>
      <c r="E438" s="2" t="str">
        <f>+VLOOKUP(C438,FRAGILIDAD,2,0)</f>
        <v>Nivel 3 (Normal)</v>
      </c>
    </row>
    <row r="439" spans="1:5" ht="16.8" x14ac:dyDescent="0.3">
      <c r="A439" s="3" t="s">
        <v>42</v>
      </c>
      <c r="B439" s="4" t="s">
        <v>1</v>
      </c>
      <c r="C439" s="4">
        <v>1</v>
      </c>
      <c r="D439" s="3" t="s">
        <v>5</v>
      </c>
      <c r="E439" s="2" t="str">
        <f>+VLOOKUP(C439,FRAGILIDAD,2,0)</f>
        <v>Nivel 1 (Muy Frágil)</v>
      </c>
    </row>
    <row r="440" spans="1:5" ht="16.8" x14ac:dyDescent="0.3">
      <c r="A440" s="3" t="s">
        <v>41</v>
      </c>
      <c r="B440" s="4" t="s">
        <v>1</v>
      </c>
      <c r="C440" s="4">
        <v>3</v>
      </c>
      <c r="D440" s="3" t="s">
        <v>0</v>
      </c>
      <c r="E440" s="2" t="str">
        <f>+VLOOKUP(C440,FRAGILIDAD,2,0)</f>
        <v>Nivel 3 (Normal)</v>
      </c>
    </row>
    <row r="441" spans="1:5" ht="16.8" x14ac:dyDescent="0.3">
      <c r="A441" s="3" t="s">
        <v>40</v>
      </c>
      <c r="B441" s="4" t="s">
        <v>1</v>
      </c>
      <c r="C441" s="4">
        <v>3</v>
      </c>
      <c r="D441" s="3" t="s">
        <v>0</v>
      </c>
      <c r="E441" s="2" t="str">
        <f>+VLOOKUP(C441,FRAGILIDAD,2,0)</f>
        <v>Nivel 3 (Normal)</v>
      </c>
    </row>
    <row r="442" spans="1:5" ht="16.8" x14ac:dyDescent="0.3">
      <c r="A442" s="3" t="s">
        <v>39</v>
      </c>
      <c r="B442" s="4" t="s">
        <v>1</v>
      </c>
      <c r="C442" s="4">
        <v>3</v>
      </c>
      <c r="D442" s="3" t="s">
        <v>0</v>
      </c>
      <c r="E442" s="2" t="str">
        <f>+VLOOKUP(C442,FRAGILIDAD,2,0)</f>
        <v>Nivel 3 (Normal)</v>
      </c>
    </row>
    <row r="443" spans="1:5" ht="16.8" x14ac:dyDescent="0.3">
      <c r="A443" s="3" t="s">
        <v>38</v>
      </c>
      <c r="B443" s="4" t="s">
        <v>1</v>
      </c>
      <c r="C443" s="4">
        <v>3</v>
      </c>
      <c r="D443" s="3" t="s">
        <v>0</v>
      </c>
      <c r="E443" s="2" t="str">
        <f>+VLOOKUP(C443,FRAGILIDAD,2,0)</f>
        <v>Nivel 3 (Normal)</v>
      </c>
    </row>
    <row r="444" spans="1:5" ht="16.8" x14ac:dyDescent="0.3">
      <c r="A444" s="3" t="s">
        <v>37</v>
      </c>
      <c r="B444" s="4" t="s">
        <v>1</v>
      </c>
      <c r="C444" s="4">
        <v>3</v>
      </c>
      <c r="D444" s="3" t="s">
        <v>0</v>
      </c>
      <c r="E444" s="2" t="str">
        <f>+VLOOKUP(C444,FRAGILIDAD,2,0)</f>
        <v>Nivel 3 (Normal)</v>
      </c>
    </row>
    <row r="445" spans="1:5" ht="16.8" x14ac:dyDescent="0.3">
      <c r="A445" s="3" t="s">
        <v>36</v>
      </c>
      <c r="B445" s="4" t="s">
        <v>1</v>
      </c>
      <c r="C445" s="4">
        <v>3</v>
      </c>
      <c r="D445" s="3" t="s">
        <v>0</v>
      </c>
      <c r="E445" s="2" t="str">
        <f>+VLOOKUP(C445,FRAGILIDAD,2,0)</f>
        <v>Nivel 3 (Normal)</v>
      </c>
    </row>
    <row r="446" spans="1:5" ht="16.8" x14ac:dyDescent="0.3">
      <c r="A446" s="3" t="s">
        <v>35</v>
      </c>
      <c r="B446" s="4" t="s">
        <v>1</v>
      </c>
      <c r="C446" s="4">
        <v>3</v>
      </c>
      <c r="D446" s="3" t="s">
        <v>0</v>
      </c>
      <c r="E446" s="2" t="str">
        <f>+VLOOKUP(C446,FRAGILIDAD,2,0)</f>
        <v>Nivel 3 (Normal)</v>
      </c>
    </row>
    <row r="447" spans="1:5" ht="16.8" x14ac:dyDescent="0.3">
      <c r="A447" s="3" t="s">
        <v>34</v>
      </c>
      <c r="B447" s="4" t="s">
        <v>1</v>
      </c>
      <c r="C447" s="4">
        <v>3</v>
      </c>
      <c r="D447" s="3" t="s">
        <v>0</v>
      </c>
      <c r="E447" s="2" t="str">
        <f>+VLOOKUP(C447,FRAGILIDAD,2,0)</f>
        <v>Nivel 3 (Normal)</v>
      </c>
    </row>
    <row r="448" spans="1:5" ht="16.8" x14ac:dyDescent="0.3">
      <c r="A448" s="3" t="s">
        <v>33</v>
      </c>
      <c r="B448" s="4" t="s">
        <v>1</v>
      </c>
      <c r="C448" s="4">
        <v>1</v>
      </c>
      <c r="D448" s="3" t="s">
        <v>5</v>
      </c>
      <c r="E448" s="2" t="str">
        <f>+VLOOKUP(C448,FRAGILIDAD,2,0)</f>
        <v>Nivel 1 (Muy Frágil)</v>
      </c>
    </row>
    <row r="449" spans="1:5" ht="16.8" x14ac:dyDescent="0.3">
      <c r="A449" s="3" t="s">
        <v>32</v>
      </c>
      <c r="B449" s="4" t="s">
        <v>1</v>
      </c>
      <c r="C449" s="4">
        <v>1</v>
      </c>
      <c r="D449" s="3" t="s">
        <v>5</v>
      </c>
      <c r="E449" s="2" t="str">
        <f>+VLOOKUP(C449,FRAGILIDAD,2,0)</f>
        <v>Nivel 1 (Muy Frágil)</v>
      </c>
    </row>
    <row r="450" spans="1:5" ht="16.8" x14ac:dyDescent="0.3">
      <c r="A450" s="3" t="s">
        <v>31</v>
      </c>
      <c r="B450" s="4" t="s">
        <v>1</v>
      </c>
      <c r="C450" s="4">
        <v>1</v>
      </c>
      <c r="D450" s="3" t="s">
        <v>5</v>
      </c>
      <c r="E450" s="2" t="str">
        <f>+VLOOKUP(C450,FRAGILIDAD,2,0)</f>
        <v>Nivel 1 (Muy Frágil)</v>
      </c>
    </row>
    <row r="451" spans="1:5" ht="16.8" x14ac:dyDescent="0.3">
      <c r="A451" s="3" t="s">
        <v>30</v>
      </c>
      <c r="B451" s="4" t="s">
        <v>1</v>
      </c>
      <c r="C451" s="4">
        <v>1</v>
      </c>
      <c r="D451" s="3" t="s">
        <v>5</v>
      </c>
      <c r="E451" s="2" t="str">
        <f>+VLOOKUP(C451,FRAGILIDAD,2,0)</f>
        <v>Nivel 1 (Muy Frágil)</v>
      </c>
    </row>
    <row r="452" spans="1:5" ht="16.8" x14ac:dyDescent="0.3">
      <c r="A452" s="3" t="s">
        <v>29</v>
      </c>
      <c r="B452" s="4" t="s">
        <v>1</v>
      </c>
      <c r="C452" s="4">
        <v>1</v>
      </c>
      <c r="D452" s="3" t="s">
        <v>5</v>
      </c>
      <c r="E452" s="2" t="str">
        <f>+VLOOKUP(C452,FRAGILIDAD,2,0)</f>
        <v>Nivel 1 (Muy Frágil)</v>
      </c>
    </row>
    <row r="453" spans="1:5" ht="16.8" x14ac:dyDescent="0.3">
      <c r="A453" s="3" t="s">
        <v>28</v>
      </c>
      <c r="B453" s="4" t="s">
        <v>1</v>
      </c>
      <c r="C453" s="4">
        <v>3</v>
      </c>
      <c r="D453" s="3" t="s">
        <v>0</v>
      </c>
      <c r="E453" s="2" t="str">
        <f>+VLOOKUP(C453,FRAGILIDAD,2,0)</f>
        <v>Nivel 3 (Normal)</v>
      </c>
    </row>
    <row r="454" spans="1:5" ht="16.8" x14ac:dyDescent="0.3">
      <c r="A454" s="3" t="s">
        <v>27</v>
      </c>
      <c r="B454" s="4" t="s">
        <v>1</v>
      </c>
      <c r="C454" s="4">
        <v>3</v>
      </c>
      <c r="D454" s="3" t="s">
        <v>0</v>
      </c>
      <c r="E454" s="2" t="str">
        <f>+VLOOKUP(C454,FRAGILIDAD,2,0)</f>
        <v>Nivel 3 (Normal)</v>
      </c>
    </row>
    <row r="455" spans="1:5" ht="16.8" x14ac:dyDescent="0.3">
      <c r="A455" s="3" t="s">
        <v>26</v>
      </c>
      <c r="B455" s="4" t="s">
        <v>1</v>
      </c>
      <c r="C455" s="4">
        <v>3</v>
      </c>
      <c r="D455" s="3" t="s">
        <v>0</v>
      </c>
      <c r="E455" s="2" t="str">
        <f>+VLOOKUP(C455,FRAGILIDAD,2,0)</f>
        <v>Nivel 3 (Normal)</v>
      </c>
    </row>
    <row r="456" spans="1:5" ht="16.8" x14ac:dyDescent="0.3">
      <c r="A456" s="3" t="s">
        <v>25</v>
      </c>
      <c r="B456" s="4" t="s">
        <v>1</v>
      </c>
      <c r="C456" s="4">
        <v>3</v>
      </c>
      <c r="D456" s="3" t="s">
        <v>0</v>
      </c>
      <c r="E456" s="2" t="str">
        <f>+VLOOKUP(C456,FRAGILIDAD,2,0)</f>
        <v>Nivel 3 (Normal)</v>
      </c>
    </row>
    <row r="457" spans="1:5" ht="16.8" x14ac:dyDescent="0.3">
      <c r="A457" s="3" t="s">
        <v>24</v>
      </c>
      <c r="B457" s="4" t="s">
        <v>1</v>
      </c>
      <c r="C457" s="4">
        <v>3</v>
      </c>
      <c r="D457" s="3" t="s">
        <v>0</v>
      </c>
      <c r="E457" s="2" t="str">
        <f>+VLOOKUP(C457,FRAGILIDAD,2,0)</f>
        <v>Nivel 3 (Normal)</v>
      </c>
    </row>
    <row r="458" spans="1:5" ht="16.8" x14ac:dyDescent="0.3">
      <c r="A458" s="3" t="s">
        <v>23</v>
      </c>
      <c r="B458" s="4" t="s">
        <v>1</v>
      </c>
      <c r="C458" s="4">
        <v>3</v>
      </c>
      <c r="D458" s="3" t="s">
        <v>0</v>
      </c>
      <c r="E458" s="2" t="str">
        <f>+VLOOKUP(C458,FRAGILIDAD,2,0)</f>
        <v>Nivel 3 (Normal)</v>
      </c>
    </row>
    <row r="459" spans="1:5" ht="16.8" x14ac:dyDescent="0.3">
      <c r="A459" s="3" t="s">
        <v>22</v>
      </c>
      <c r="B459" s="4" t="s">
        <v>1</v>
      </c>
      <c r="C459" s="4">
        <v>3</v>
      </c>
      <c r="D459" s="3" t="s">
        <v>0</v>
      </c>
      <c r="E459" s="2" t="str">
        <f>+VLOOKUP(C459,FRAGILIDAD,2,0)</f>
        <v>Nivel 3 (Normal)</v>
      </c>
    </row>
    <row r="460" spans="1:5" ht="16.8" x14ac:dyDescent="0.3">
      <c r="A460" s="3" t="s">
        <v>21</v>
      </c>
      <c r="B460" s="4" t="s">
        <v>1</v>
      </c>
      <c r="C460" s="4">
        <v>3</v>
      </c>
      <c r="D460" s="3" t="s">
        <v>0</v>
      </c>
      <c r="E460" s="2" t="str">
        <f>+VLOOKUP(C460,FRAGILIDAD,2,0)</f>
        <v>Nivel 3 (Normal)</v>
      </c>
    </row>
    <row r="461" spans="1:5" ht="16.8" x14ac:dyDescent="0.3">
      <c r="A461" s="3" t="s">
        <v>20</v>
      </c>
      <c r="B461" s="4" t="s">
        <v>1</v>
      </c>
      <c r="C461" s="4">
        <v>3</v>
      </c>
      <c r="D461" s="3" t="s">
        <v>0</v>
      </c>
      <c r="E461" s="2" t="str">
        <f>+VLOOKUP(C461,FRAGILIDAD,2,0)</f>
        <v>Nivel 3 (Normal)</v>
      </c>
    </row>
    <row r="462" spans="1:5" ht="16.8" x14ac:dyDescent="0.3">
      <c r="A462" s="3" t="s">
        <v>19</v>
      </c>
      <c r="B462" s="4" t="s">
        <v>1</v>
      </c>
      <c r="C462" s="4">
        <v>3</v>
      </c>
      <c r="D462" s="3" t="s">
        <v>0</v>
      </c>
      <c r="E462" s="2" t="str">
        <f>+VLOOKUP(C462,FRAGILIDAD,2,0)</f>
        <v>Nivel 3 (Normal)</v>
      </c>
    </row>
    <row r="463" spans="1:5" ht="16.8" x14ac:dyDescent="0.3">
      <c r="A463" s="3" t="s">
        <v>18</v>
      </c>
      <c r="B463" s="4" t="s">
        <v>1</v>
      </c>
      <c r="C463" s="4">
        <v>3</v>
      </c>
      <c r="D463" s="3" t="s">
        <v>0</v>
      </c>
      <c r="E463" s="2" t="str">
        <f>+VLOOKUP(C463,FRAGILIDAD,2,0)</f>
        <v>Nivel 3 (Normal)</v>
      </c>
    </row>
    <row r="464" spans="1:5" ht="16.8" x14ac:dyDescent="0.3">
      <c r="A464" s="3" t="s">
        <v>17</v>
      </c>
      <c r="B464" s="4" t="s">
        <v>1</v>
      </c>
      <c r="C464" s="4">
        <v>1</v>
      </c>
      <c r="D464" s="3" t="s">
        <v>5</v>
      </c>
      <c r="E464" s="2" t="str">
        <f>+VLOOKUP(C464,FRAGILIDAD,2,0)</f>
        <v>Nivel 1 (Muy Frágil)</v>
      </c>
    </row>
    <row r="465" spans="1:5" ht="16.8" x14ac:dyDescent="0.3">
      <c r="A465" s="3" t="s">
        <v>16</v>
      </c>
      <c r="B465" s="4" t="s">
        <v>1</v>
      </c>
      <c r="C465" s="4">
        <v>1</v>
      </c>
      <c r="D465" s="3" t="s">
        <v>5</v>
      </c>
      <c r="E465" s="2" t="str">
        <f>+VLOOKUP(C465,FRAGILIDAD,2,0)</f>
        <v>Nivel 1 (Muy Frágil)</v>
      </c>
    </row>
    <row r="466" spans="1:5" ht="16.8" x14ac:dyDescent="0.3">
      <c r="A466" s="3" t="s">
        <v>15</v>
      </c>
      <c r="B466" s="4" t="s">
        <v>1</v>
      </c>
      <c r="C466" s="4">
        <v>3</v>
      </c>
      <c r="D466" s="3" t="s">
        <v>0</v>
      </c>
      <c r="E466" s="2" t="str">
        <f>+VLOOKUP(C466,FRAGILIDAD,2,0)</f>
        <v>Nivel 3 (Normal)</v>
      </c>
    </row>
    <row r="467" spans="1:5" ht="16.8" x14ac:dyDescent="0.3">
      <c r="A467" s="3" t="s">
        <v>14</v>
      </c>
      <c r="B467" s="4" t="s">
        <v>1</v>
      </c>
      <c r="C467" s="4">
        <v>3</v>
      </c>
      <c r="D467" s="3" t="s">
        <v>0</v>
      </c>
      <c r="E467" s="2" t="str">
        <f>+VLOOKUP(C467,FRAGILIDAD,2,0)</f>
        <v>Nivel 3 (Normal)</v>
      </c>
    </row>
    <row r="468" spans="1:5" ht="16.8" x14ac:dyDescent="0.3">
      <c r="A468" s="3" t="s">
        <v>13</v>
      </c>
      <c r="B468" s="4" t="s">
        <v>1</v>
      </c>
      <c r="C468" s="4">
        <v>2</v>
      </c>
      <c r="D468" s="3" t="s">
        <v>10</v>
      </c>
      <c r="E468" s="2" t="str">
        <f>+VLOOKUP(C468,FRAGILIDAD,2,0)</f>
        <v>Nivel 2 (Frágil)</v>
      </c>
    </row>
    <row r="469" spans="1:5" ht="16.8" x14ac:dyDescent="0.3">
      <c r="A469" s="3" t="s">
        <v>12</v>
      </c>
      <c r="B469" s="4" t="s">
        <v>1</v>
      </c>
      <c r="C469" s="4">
        <v>1</v>
      </c>
      <c r="D469" s="3" t="s">
        <v>5</v>
      </c>
      <c r="E469" s="2" t="str">
        <f>+VLOOKUP(C469,FRAGILIDAD,2,0)</f>
        <v>Nivel 1 (Muy Frágil)</v>
      </c>
    </row>
    <row r="470" spans="1:5" ht="16.8" x14ac:dyDescent="0.3">
      <c r="A470" s="3" t="s">
        <v>11</v>
      </c>
      <c r="B470" s="4" t="s">
        <v>1</v>
      </c>
      <c r="C470" s="4">
        <v>2</v>
      </c>
      <c r="D470" s="3" t="s">
        <v>10</v>
      </c>
      <c r="E470" s="2" t="str">
        <f>+VLOOKUP(C470,FRAGILIDAD,2,0)</f>
        <v>Nivel 2 (Frágil)</v>
      </c>
    </row>
    <row r="471" spans="1:5" ht="16.8" x14ac:dyDescent="0.3">
      <c r="A471" s="3" t="s">
        <v>9</v>
      </c>
      <c r="B471" s="4" t="s">
        <v>1</v>
      </c>
      <c r="C471" s="4">
        <v>3</v>
      </c>
      <c r="D471" s="3" t="s">
        <v>3</v>
      </c>
      <c r="E471" s="2" t="str">
        <f>+VLOOKUP(C471,FRAGILIDAD,2,0)</f>
        <v>Nivel 3 (Normal)</v>
      </c>
    </row>
    <row r="472" spans="1:5" ht="16.8" x14ac:dyDescent="0.3">
      <c r="A472" s="3" t="s">
        <v>8</v>
      </c>
      <c r="B472" s="4" t="s">
        <v>1</v>
      </c>
      <c r="C472" s="4">
        <v>1</v>
      </c>
      <c r="D472" s="3" t="s">
        <v>5</v>
      </c>
      <c r="E472" s="2" t="str">
        <f>+VLOOKUP(C472,FRAGILIDAD,2,0)</f>
        <v>Nivel 1 (Muy Frágil)</v>
      </c>
    </row>
    <row r="473" spans="1:5" ht="16.8" x14ac:dyDescent="0.3">
      <c r="A473" s="3" t="s">
        <v>7</v>
      </c>
      <c r="B473" s="4" t="s">
        <v>1</v>
      </c>
      <c r="C473" s="4">
        <v>3</v>
      </c>
      <c r="D473" s="3" t="s">
        <v>3</v>
      </c>
      <c r="E473" s="2" t="str">
        <f>+VLOOKUP(C473,FRAGILIDAD,2,0)</f>
        <v>Nivel 3 (Normal)</v>
      </c>
    </row>
    <row r="474" spans="1:5" ht="16.8" x14ac:dyDescent="0.3">
      <c r="A474" s="3" t="s">
        <v>6</v>
      </c>
      <c r="B474" s="4" t="s">
        <v>1</v>
      </c>
      <c r="C474" s="4">
        <v>1</v>
      </c>
      <c r="D474" s="3" t="s">
        <v>5</v>
      </c>
      <c r="E474" s="2" t="str">
        <f>+VLOOKUP(C474,FRAGILIDAD,2,0)</f>
        <v>Nivel 1 (Muy Frágil)</v>
      </c>
    </row>
    <row r="475" spans="1:5" ht="16.8" x14ac:dyDescent="0.3">
      <c r="A475" s="3" t="s">
        <v>4</v>
      </c>
      <c r="B475" s="4" t="s">
        <v>1</v>
      </c>
      <c r="C475" s="4">
        <v>3</v>
      </c>
      <c r="D475" s="3" t="s">
        <v>3</v>
      </c>
      <c r="E475" s="2" t="str">
        <f>+VLOOKUP(C475,FRAGILIDAD,2,0)</f>
        <v>Nivel 3 (Normal)</v>
      </c>
    </row>
    <row r="476" spans="1:5" ht="16.8" x14ac:dyDescent="0.3">
      <c r="A476" s="3" t="s">
        <v>2</v>
      </c>
      <c r="B476" s="4" t="s">
        <v>1</v>
      </c>
      <c r="C476" s="4">
        <v>3</v>
      </c>
      <c r="D476" s="3" t="s">
        <v>0</v>
      </c>
      <c r="E476" s="2" t="str">
        <f>+VLOOKUP(C476,FRAGILIDAD,2,0)</f>
        <v>Nivel 3 (Normal)</v>
      </c>
    </row>
  </sheetData>
  <autoFilter ref="A1:D1" xr:uid="{3FB10156-35CB-4015-BA1C-4AAB5ADF94BB}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 GENERAL</vt:lpstr>
      <vt:lpstr>SEGM1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Rolando Ocas Venturo</dc:creator>
  <cp:lastModifiedBy>Alexis Rolando Ocas Venturo</cp:lastModifiedBy>
  <cp:lastPrinted>2026-06-09T21:24:07Z</cp:lastPrinted>
  <dcterms:created xsi:type="dcterms:W3CDTF">2026-06-09T21:23:52Z</dcterms:created>
  <dcterms:modified xsi:type="dcterms:W3CDTF">2026-06-09T21:24:15Z</dcterms:modified>
</cp:coreProperties>
</file>